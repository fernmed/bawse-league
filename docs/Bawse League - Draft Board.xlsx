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Master Team List" sheetId="2" state="visible" r:id="rId2"/>
    <sheet name="Odds Cheatsheet" sheetId="3" state="visible" r:id="rId3"/>
    <sheet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+&quot;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6"/>
    </font>
    <font>
      <name val="Arial"/>
      <i val="1"/>
      <color rgb="00595959"/>
      <sz val="9"/>
    </font>
    <font>
      <name val="Arial"/>
      <b val="1"/>
      <color rgb="001F4E79"/>
      <sz val="12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BAWSE LEAGUE — CHAMPIONSHIP LEAGUE DRAFT BOARD</t>
        </is>
      </c>
    </row>
    <row r="2">
      <c r="A2" s="2" t="inlineStr">
        <is>
          <t>Round</t>
        </is>
      </c>
      <c r="B2" s="3" t="inlineStr">
        <is>
          <t>Manager 1</t>
        </is>
      </c>
      <c r="C2" s="3" t="inlineStr">
        <is>
          <t>Manager 2</t>
        </is>
      </c>
      <c r="D2" s="3" t="inlineStr">
        <is>
          <t>Manager 3</t>
        </is>
      </c>
      <c r="E2" s="3" t="inlineStr">
        <is>
          <t>Manager 4</t>
        </is>
      </c>
      <c r="F2" s="3" t="inlineStr">
        <is>
          <t>Manager 5</t>
        </is>
      </c>
      <c r="G2" s="3" t="inlineStr">
        <is>
          <t>Manager 6</t>
        </is>
      </c>
      <c r="H2" s="3" t="inlineStr">
        <is>
          <t>Manager 7</t>
        </is>
      </c>
      <c r="I2" s="3" t="inlineStr">
        <is>
          <t>Manager 8</t>
        </is>
      </c>
      <c r="J2" s="3" t="inlineStr">
        <is>
          <t>Manager 9</t>
        </is>
      </c>
      <c r="K2" s="3" t="inlineStr">
        <is>
          <t>Manager 10</t>
        </is>
      </c>
    </row>
    <row r="3">
      <c r="A3" s="4" t="inlineStr">
        <is>
          <t>1 →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4" t="inlineStr">
        <is>
          <t>2 ←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4" t="inlineStr">
        <is>
          <t>3 →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4" t="inlineStr">
        <is>
          <t>4 ←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4" t="inlineStr">
        <is>
          <t>5 →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4" t="inlineStr">
        <is>
          <t>6 ←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4" t="inlineStr">
        <is>
          <t>7 →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4" t="inlineStr">
        <is>
          <t>8 ←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4" t="inlineStr">
        <is>
          <t>9 →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4" t="inlineStr">
        <is>
          <t>10 ←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4" t="inlineStr">
        <is>
          <t>11 →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7" t="inlineStr">
        <is>
          <t>Picks</t>
        </is>
      </c>
      <c r="B14" s="8">
        <f>COUNTA(B3:B13)</f>
        <v/>
      </c>
      <c r="C14" s="8">
        <f>COUNTA(C3:C13)</f>
        <v/>
      </c>
      <c r="D14" s="8">
        <f>COUNTA(D3:D13)</f>
        <v/>
      </c>
      <c r="E14" s="8">
        <f>COUNTA(E3:E13)</f>
        <v/>
      </c>
      <c r="F14" s="8">
        <f>COUNTA(F3:F13)</f>
        <v/>
      </c>
      <c r="G14" s="8">
        <f>COUNTA(G3:G13)</f>
        <v/>
      </c>
      <c r="H14" s="8">
        <f>COUNTA(H3:H13)</f>
        <v/>
      </c>
      <c r="I14" s="8">
        <f>COUNTA(I3:I13)</f>
        <v/>
      </c>
      <c r="J14" s="8">
        <f>COUNTA(J3:J13)</f>
        <v/>
      </c>
      <c r="K14" s="8">
        <f>COUNTA(K3:K13)</f>
        <v/>
      </c>
    </row>
    <row r="15">
      <c r="B15" s="7" t="inlineStr">
        <is>
          <t>Snake draft: odd rounds left→right, even rounds right←left. A pick that turns RED is a duplicate — re-pick immediately.</t>
        </is>
      </c>
    </row>
    <row r="17">
      <c r="A17" s="9" t="inlineStr">
        <is>
          <t>LIVE DRAFT TRACKER</t>
        </is>
      </c>
    </row>
    <row r="18">
      <c r="A18" s="10" t="inlineStr">
        <is>
          <t>League</t>
        </is>
      </c>
      <c r="B18" s="10" t="inlineStr">
        <is>
          <t>Teams</t>
        </is>
      </c>
      <c r="C18" s="10" t="inlineStr">
        <is>
          <t>Drafted</t>
        </is>
      </c>
      <c r="D18" s="10" t="inlineStr">
        <is>
          <t>Undrafted</t>
        </is>
      </c>
    </row>
    <row r="19">
      <c r="A19" s="5" t="inlineStr">
        <is>
          <t>MLB</t>
        </is>
      </c>
      <c r="B19" s="5" t="n">
        <v>30</v>
      </c>
      <c r="C19" s="5">
        <f>COUNTIF('Draft Board'!$B$3:$K$13,"MLB: *")</f>
        <v/>
      </c>
      <c r="D19" s="5">
        <f>B19-C19</f>
        <v/>
      </c>
    </row>
    <row r="20">
      <c r="A20" s="6" t="inlineStr">
        <is>
          <t>NBA</t>
        </is>
      </c>
      <c r="B20" s="6" t="n">
        <v>30</v>
      </c>
      <c r="C20" s="6">
        <f>COUNTIF('Draft Board'!$B$3:$K$13,"NBA: *")</f>
        <v/>
      </c>
      <c r="D20" s="6">
        <f>B20-C20</f>
        <v/>
      </c>
    </row>
    <row r="21">
      <c r="A21" s="5" t="inlineStr">
        <is>
          <t>NHL</t>
        </is>
      </c>
      <c r="B21" s="5" t="n">
        <v>32</v>
      </c>
      <c r="C21" s="5">
        <f>COUNTIF('Draft Board'!$B$3:$K$13,"NHL: *")</f>
        <v/>
      </c>
      <c r="D21" s="5">
        <f>B21-C21</f>
        <v/>
      </c>
    </row>
    <row r="22">
      <c r="A22" s="6" t="inlineStr">
        <is>
          <t>NFL</t>
        </is>
      </c>
      <c r="B22" s="6" t="n">
        <v>32</v>
      </c>
      <c r="C22" s="6">
        <f>COUNTIF('Draft Board'!$B$3:$K$13,"NFL: *")</f>
        <v/>
      </c>
      <c r="D22" s="6">
        <f>B22-C22</f>
        <v/>
      </c>
    </row>
    <row r="23">
      <c r="A23" s="5" t="inlineStr">
        <is>
          <t>NCAAF</t>
        </is>
      </c>
      <c r="B23" s="5" t="n">
        <v>138</v>
      </c>
      <c r="C23" s="5">
        <f>COUNTIF('Draft Board'!$B$3:$K$13,"NCAAF: *")</f>
        <v/>
      </c>
      <c r="D23" s="5">
        <f>B23-C23</f>
        <v/>
      </c>
    </row>
    <row r="24">
      <c r="A24" s="6" t="inlineStr">
        <is>
          <t>NCAAM</t>
        </is>
      </c>
      <c r="B24" s="6" t="n">
        <v>365</v>
      </c>
      <c r="C24" s="6">
        <f>COUNTIF('Draft Board'!$B$3:$K$13,"NCAAM: *")</f>
        <v/>
      </c>
      <c r="D24" s="6">
        <f>B24-C24</f>
        <v/>
      </c>
    </row>
    <row r="25">
      <c r="A25" s="5" t="inlineStr">
        <is>
          <t>EPL</t>
        </is>
      </c>
      <c r="B25" s="5" t="n">
        <v>20</v>
      </c>
      <c r="C25" s="5">
        <f>COUNTIF('Draft Board'!$B$3:$K$13,"EPL: *")</f>
        <v/>
      </c>
      <c r="D25" s="5">
        <f>B25-C25</f>
        <v/>
      </c>
    </row>
    <row r="26">
      <c r="A26" s="11" t="inlineStr">
        <is>
          <t>TOTAL</t>
        </is>
      </c>
      <c r="B26" s="11">
        <f>SUM(B19:B25)</f>
        <v/>
      </c>
      <c r="C26" s="11">
        <f>SUM(C19:C25)</f>
        <v/>
      </c>
      <c r="D26" s="11">
        <f>SUM(D19:D25)</f>
        <v/>
      </c>
    </row>
    <row r="27">
      <c r="A27" s="7" t="inlineStr">
        <is>
          <t>"Drafted" counts drafted teams; undrafted teams stay unowned for the season.</t>
        </is>
      </c>
    </row>
  </sheetData>
  <mergeCells count="1">
    <mergeCell ref="A1:H1"/>
  </mergeCells>
  <conditionalFormatting sqref="B3:K13">
    <cfRule type="expression" priority="1" dxfId="0" stopIfTrue="0">
      <formula>AND(B3&lt;&gt;"",COUNTIF($B$3:$K$13,B3)&gt;1)</formula>
    </cfRule>
  </conditionalFormatting>
  <dataValidations count="1">
    <dataValidation sqref="B3:K13" showDropDown="0" showInputMessage="0" showErrorMessage="1" allowBlank="1" error="Pick a team from the Master Team List dropdown." type="list">
      <formula1>='Master Team List'!$C$2:$C$648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0" customWidth="1" min="4" max="4"/>
  </cols>
  <sheetData>
    <row r="1">
      <c r="A1" s="2" t="inlineStr">
        <is>
          <t>League</t>
        </is>
      </c>
      <c r="B1" s="2" t="inlineStr">
        <is>
          <t>Team</t>
        </is>
      </c>
      <c r="C1" s="2" t="inlineStr">
        <is>
          <t>Draft Name (dropdown source)</t>
        </is>
      </c>
      <c r="D1" s="2" t="inlineStr">
        <is>
          <t>Drafted?</t>
        </is>
      </c>
    </row>
    <row r="2">
      <c r="A2" s="12" t="inlineStr">
        <is>
          <t>MLB</t>
        </is>
      </c>
      <c r="B2" s="12" t="inlineStr">
        <is>
          <t>Arizona Diamondbacks</t>
        </is>
      </c>
      <c r="C2" s="12" t="inlineStr">
        <is>
          <t>MLB: Arizona Diamondbacks</t>
        </is>
      </c>
      <c r="D2" s="11">
        <f>IF(COUNTIF('Draft Board'!$B$3:$K$13,C2)&gt;0,"DRAFTED","")</f>
        <v/>
      </c>
    </row>
    <row r="3">
      <c r="A3" s="12" t="inlineStr">
        <is>
          <t>MLB</t>
        </is>
      </c>
      <c r="B3" s="12" t="inlineStr">
        <is>
          <t>Athletics</t>
        </is>
      </c>
      <c r="C3" s="12" t="inlineStr">
        <is>
          <t>MLB: Athletics</t>
        </is>
      </c>
      <c r="D3" s="11">
        <f>IF(COUNTIF('Draft Board'!$B$3:$K$13,C3)&gt;0,"DRAFTED","")</f>
        <v/>
      </c>
    </row>
    <row r="4">
      <c r="A4" s="12" t="inlineStr">
        <is>
          <t>MLB</t>
        </is>
      </c>
      <c r="B4" s="12" t="inlineStr">
        <is>
          <t>Atlanta Braves</t>
        </is>
      </c>
      <c r="C4" s="12" t="inlineStr">
        <is>
          <t>MLB: Atlanta Braves</t>
        </is>
      </c>
      <c r="D4" s="11">
        <f>IF(COUNTIF('Draft Board'!$B$3:$K$13,C4)&gt;0,"DRAFTED","")</f>
        <v/>
      </c>
    </row>
    <row r="5">
      <c r="A5" s="12" t="inlineStr">
        <is>
          <t>MLB</t>
        </is>
      </c>
      <c r="B5" s="12" t="inlineStr">
        <is>
          <t>Baltimore Orioles</t>
        </is>
      </c>
      <c r="C5" s="12" t="inlineStr">
        <is>
          <t>MLB: Baltimore Orioles</t>
        </is>
      </c>
      <c r="D5" s="11">
        <f>IF(COUNTIF('Draft Board'!$B$3:$K$13,C5)&gt;0,"DRAFTED","")</f>
        <v/>
      </c>
    </row>
    <row r="6">
      <c r="A6" s="12" t="inlineStr">
        <is>
          <t>MLB</t>
        </is>
      </c>
      <c r="B6" s="12" t="inlineStr">
        <is>
          <t>Boston Red Sox</t>
        </is>
      </c>
      <c r="C6" s="12" t="inlineStr">
        <is>
          <t>MLB: Boston Red Sox</t>
        </is>
      </c>
      <c r="D6" s="11">
        <f>IF(COUNTIF('Draft Board'!$B$3:$K$13,C6)&gt;0,"DRAFTED","")</f>
        <v/>
      </c>
    </row>
    <row r="7">
      <c r="A7" s="12" t="inlineStr">
        <is>
          <t>MLB</t>
        </is>
      </c>
      <c r="B7" s="12" t="inlineStr">
        <is>
          <t>Chicago Cubs</t>
        </is>
      </c>
      <c r="C7" s="12" t="inlineStr">
        <is>
          <t>MLB: Chicago Cubs</t>
        </is>
      </c>
      <c r="D7" s="11">
        <f>IF(COUNTIF('Draft Board'!$B$3:$K$13,C7)&gt;0,"DRAFTED","")</f>
        <v/>
      </c>
    </row>
    <row r="8">
      <c r="A8" s="12" t="inlineStr">
        <is>
          <t>MLB</t>
        </is>
      </c>
      <c r="B8" s="12" t="inlineStr">
        <is>
          <t>Chicago White Sox</t>
        </is>
      </c>
      <c r="C8" s="12" t="inlineStr">
        <is>
          <t>MLB: Chicago White Sox</t>
        </is>
      </c>
      <c r="D8" s="11">
        <f>IF(COUNTIF('Draft Board'!$B$3:$K$13,C8)&gt;0,"DRAFTED","")</f>
        <v/>
      </c>
    </row>
    <row r="9">
      <c r="A9" s="12" t="inlineStr">
        <is>
          <t>MLB</t>
        </is>
      </c>
      <c r="B9" s="12" t="inlineStr">
        <is>
          <t>Cincinnati Reds</t>
        </is>
      </c>
      <c r="C9" s="12" t="inlineStr">
        <is>
          <t>MLB: Cincinnati Reds</t>
        </is>
      </c>
      <c r="D9" s="11">
        <f>IF(COUNTIF('Draft Board'!$B$3:$K$13,C9)&gt;0,"DRAFTED","")</f>
        <v/>
      </c>
    </row>
    <row r="10">
      <c r="A10" s="12" t="inlineStr">
        <is>
          <t>MLB</t>
        </is>
      </c>
      <c r="B10" s="12" t="inlineStr">
        <is>
          <t>Cleveland Guardians</t>
        </is>
      </c>
      <c r="C10" s="12" t="inlineStr">
        <is>
          <t>MLB: Cleveland Guardians</t>
        </is>
      </c>
      <c r="D10" s="11">
        <f>IF(COUNTIF('Draft Board'!$B$3:$K$13,C10)&gt;0,"DRAFTED","")</f>
        <v/>
      </c>
    </row>
    <row r="11">
      <c r="A11" s="12" t="inlineStr">
        <is>
          <t>MLB</t>
        </is>
      </c>
      <c r="B11" s="12" t="inlineStr">
        <is>
          <t>Colorado Rockies</t>
        </is>
      </c>
      <c r="C11" s="12" t="inlineStr">
        <is>
          <t>MLB: Colorado Rockies</t>
        </is>
      </c>
      <c r="D11" s="11">
        <f>IF(COUNTIF('Draft Board'!$B$3:$K$13,C11)&gt;0,"DRAFTED","")</f>
        <v/>
      </c>
    </row>
    <row r="12">
      <c r="A12" s="12" t="inlineStr">
        <is>
          <t>MLB</t>
        </is>
      </c>
      <c r="B12" s="12" t="inlineStr">
        <is>
          <t>Detroit Tigers</t>
        </is>
      </c>
      <c r="C12" s="12" t="inlineStr">
        <is>
          <t>MLB: Detroit Tigers</t>
        </is>
      </c>
      <c r="D12" s="11">
        <f>IF(COUNTIF('Draft Board'!$B$3:$K$13,C12)&gt;0,"DRAFTED","")</f>
        <v/>
      </c>
    </row>
    <row r="13">
      <c r="A13" s="12" t="inlineStr">
        <is>
          <t>MLB</t>
        </is>
      </c>
      <c r="B13" s="12" t="inlineStr">
        <is>
          <t>Houston Astros</t>
        </is>
      </c>
      <c r="C13" s="12" t="inlineStr">
        <is>
          <t>MLB: Houston Astros</t>
        </is>
      </c>
      <c r="D13" s="11">
        <f>IF(COUNTIF('Draft Board'!$B$3:$K$13,C13)&gt;0,"DRAFTED","")</f>
        <v/>
      </c>
    </row>
    <row r="14">
      <c r="A14" s="12" t="inlineStr">
        <is>
          <t>MLB</t>
        </is>
      </c>
      <c r="B14" s="12" t="inlineStr">
        <is>
          <t>Kansas City Royals</t>
        </is>
      </c>
      <c r="C14" s="12" t="inlineStr">
        <is>
          <t>MLB: Kansas City Royals</t>
        </is>
      </c>
      <c r="D14" s="11">
        <f>IF(COUNTIF('Draft Board'!$B$3:$K$13,C14)&gt;0,"DRAFTED","")</f>
        <v/>
      </c>
    </row>
    <row r="15">
      <c r="A15" s="12" t="inlineStr">
        <is>
          <t>MLB</t>
        </is>
      </c>
      <c r="B15" s="12" t="inlineStr">
        <is>
          <t>Los Angeles Angels</t>
        </is>
      </c>
      <c r="C15" s="12" t="inlineStr">
        <is>
          <t>MLB: Los Angeles Angels</t>
        </is>
      </c>
      <c r="D15" s="11">
        <f>IF(COUNTIF('Draft Board'!$B$3:$K$13,C15)&gt;0,"DRAFTED","")</f>
        <v/>
      </c>
    </row>
    <row r="16">
      <c r="A16" s="12" t="inlineStr">
        <is>
          <t>MLB</t>
        </is>
      </c>
      <c r="B16" s="12" t="inlineStr">
        <is>
          <t>Los Angeles Dodgers</t>
        </is>
      </c>
      <c r="C16" s="12" t="inlineStr">
        <is>
          <t>MLB: Los Angeles Dodgers</t>
        </is>
      </c>
      <c r="D16" s="11">
        <f>IF(COUNTIF('Draft Board'!$B$3:$K$13,C16)&gt;0,"DRAFTED","")</f>
        <v/>
      </c>
    </row>
    <row r="17">
      <c r="A17" s="12" t="inlineStr">
        <is>
          <t>MLB</t>
        </is>
      </c>
      <c r="B17" s="12" t="inlineStr">
        <is>
          <t>Miami Marlins</t>
        </is>
      </c>
      <c r="C17" s="12" t="inlineStr">
        <is>
          <t>MLB: Miami Marlins</t>
        </is>
      </c>
      <c r="D17" s="11">
        <f>IF(COUNTIF('Draft Board'!$B$3:$K$13,C17)&gt;0,"DRAFTED","")</f>
        <v/>
      </c>
    </row>
    <row r="18">
      <c r="A18" s="12" t="inlineStr">
        <is>
          <t>MLB</t>
        </is>
      </c>
      <c r="B18" s="12" t="inlineStr">
        <is>
          <t>Milwaukee Brewers</t>
        </is>
      </c>
      <c r="C18" s="12" t="inlineStr">
        <is>
          <t>MLB: Milwaukee Brewers</t>
        </is>
      </c>
      <c r="D18" s="11">
        <f>IF(COUNTIF('Draft Board'!$B$3:$K$13,C18)&gt;0,"DRAFTED","")</f>
        <v/>
      </c>
    </row>
    <row r="19">
      <c r="A19" s="12" t="inlineStr">
        <is>
          <t>MLB</t>
        </is>
      </c>
      <c r="B19" s="12" t="inlineStr">
        <is>
          <t>Minnesota Twins</t>
        </is>
      </c>
      <c r="C19" s="12" t="inlineStr">
        <is>
          <t>MLB: Minnesota Twins</t>
        </is>
      </c>
      <c r="D19" s="11">
        <f>IF(COUNTIF('Draft Board'!$B$3:$K$13,C19)&gt;0,"DRAFTED","")</f>
        <v/>
      </c>
    </row>
    <row r="20">
      <c r="A20" s="12" t="inlineStr">
        <is>
          <t>MLB</t>
        </is>
      </c>
      <c r="B20" s="12" t="inlineStr">
        <is>
          <t>New York Mets</t>
        </is>
      </c>
      <c r="C20" s="12" t="inlineStr">
        <is>
          <t>MLB: New York Mets</t>
        </is>
      </c>
      <c r="D20" s="11">
        <f>IF(COUNTIF('Draft Board'!$B$3:$K$13,C20)&gt;0,"DRAFTED","")</f>
        <v/>
      </c>
    </row>
    <row r="21">
      <c r="A21" s="12" t="inlineStr">
        <is>
          <t>MLB</t>
        </is>
      </c>
      <c r="B21" s="12" t="inlineStr">
        <is>
          <t>New York Yankees</t>
        </is>
      </c>
      <c r="C21" s="12" t="inlineStr">
        <is>
          <t>MLB: New York Yankees</t>
        </is>
      </c>
      <c r="D21" s="11">
        <f>IF(COUNTIF('Draft Board'!$B$3:$K$13,C21)&gt;0,"DRAFTED","")</f>
        <v/>
      </c>
    </row>
    <row r="22">
      <c r="A22" s="12" t="inlineStr">
        <is>
          <t>MLB</t>
        </is>
      </c>
      <c r="B22" s="12" t="inlineStr">
        <is>
          <t>Philadelphia Phillies</t>
        </is>
      </c>
      <c r="C22" s="12" t="inlineStr">
        <is>
          <t>MLB: Philadelphia Phillies</t>
        </is>
      </c>
      <c r="D22" s="11">
        <f>IF(COUNTIF('Draft Board'!$B$3:$K$13,C22)&gt;0,"DRAFTED","")</f>
        <v/>
      </c>
    </row>
    <row r="23">
      <c r="A23" s="12" t="inlineStr">
        <is>
          <t>MLB</t>
        </is>
      </c>
      <c r="B23" s="12" t="inlineStr">
        <is>
          <t>Pittsburgh Pirates</t>
        </is>
      </c>
      <c r="C23" s="12" t="inlineStr">
        <is>
          <t>MLB: Pittsburgh Pirates</t>
        </is>
      </c>
      <c r="D23" s="11">
        <f>IF(COUNTIF('Draft Board'!$B$3:$K$13,C23)&gt;0,"DRAFTED","")</f>
        <v/>
      </c>
    </row>
    <row r="24">
      <c r="A24" s="12" t="inlineStr">
        <is>
          <t>MLB</t>
        </is>
      </c>
      <c r="B24" s="12" t="inlineStr">
        <is>
          <t>San Diego Padres</t>
        </is>
      </c>
      <c r="C24" s="12" t="inlineStr">
        <is>
          <t>MLB: San Diego Padres</t>
        </is>
      </c>
      <c r="D24" s="11">
        <f>IF(COUNTIF('Draft Board'!$B$3:$K$13,C24)&gt;0,"DRAFTED","")</f>
        <v/>
      </c>
    </row>
    <row r="25">
      <c r="A25" s="12" t="inlineStr">
        <is>
          <t>MLB</t>
        </is>
      </c>
      <c r="B25" s="12" t="inlineStr">
        <is>
          <t>San Francisco Giants</t>
        </is>
      </c>
      <c r="C25" s="12" t="inlineStr">
        <is>
          <t>MLB: San Francisco Giants</t>
        </is>
      </c>
      <c r="D25" s="11">
        <f>IF(COUNTIF('Draft Board'!$B$3:$K$13,C25)&gt;0,"DRAFTED","")</f>
        <v/>
      </c>
    </row>
    <row r="26">
      <c r="A26" s="12" t="inlineStr">
        <is>
          <t>MLB</t>
        </is>
      </c>
      <c r="B26" s="12" t="inlineStr">
        <is>
          <t>Seattle Mariners</t>
        </is>
      </c>
      <c r="C26" s="12" t="inlineStr">
        <is>
          <t>MLB: Seattle Mariners</t>
        </is>
      </c>
      <c r="D26" s="11">
        <f>IF(COUNTIF('Draft Board'!$B$3:$K$13,C26)&gt;0,"DRAFTED","")</f>
        <v/>
      </c>
    </row>
    <row r="27">
      <c r="A27" s="12" t="inlineStr">
        <is>
          <t>MLB</t>
        </is>
      </c>
      <c r="B27" s="12" t="inlineStr">
        <is>
          <t>St. Louis Cardinals</t>
        </is>
      </c>
      <c r="C27" s="12" t="inlineStr">
        <is>
          <t>MLB: St. Louis Cardinals</t>
        </is>
      </c>
      <c r="D27" s="11">
        <f>IF(COUNTIF('Draft Board'!$B$3:$K$13,C27)&gt;0,"DRAFTED","")</f>
        <v/>
      </c>
    </row>
    <row r="28">
      <c r="A28" s="12" t="inlineStr">
        <is>
          <t>MLB</t>
        </is>
      </c>
      <c r="B28" s="12" t="inlineStr">
        <is>
          <t>Tampa Bay Rays</t>
        </is>
      </c>
      <c r="C28" s="12" t="inlineStr">
        <is>
          <t>MLB: Tampa Bay Rays</t>
        </is>
      </c>
      <c r="D28" s="11">
        <f>IF(COUNTIF('Draft Board'!$B$3:$K$13,C28)&gt;0,"DRAFTED","")</f>
        <v/>
      </c>
    </row>
    <row r="29">
      <c r="A29" s="12" t="inlineStr">
        <is>
          <t>MLB</t>
        </is>
      </c>
      <c r="B29" s="12" t="inlineStr">
        <is>
          <t>Texas Rangers</t>
        </is>
      </c>
      <c r="C29" s="12" t="inlineStr">
        <is>
          <t>MLB: Texas Rangers</t>
        </is>
      </c>
      <c r="D29" s="11">
        <f>IF(COUNTIF('Draft Board'!$B$3:$K$13,C29)&gt;0,"DRAFTED","")</f>
        <v/>
      </c>
    </row>
    <row r="30">
      <c r="A30" s="12" t="inlineStr">
        <is>
          <t>MLB</t>
        </is>
      </c>
      <c r="B30" s="12" t="inlineStr">
        <is>
          <t>Toronto Blue Jays</t>
        </is>
      </c>
      <c r="C30" s="12" t="inlineStr">
        <is>
          <t>MLB: Toronto Blue Jays</t>
        </is>
      </c>
      <c r="D30" s="11">
        <f>IF(COUNTIF('Draft Board'!$B$3:$K$13,C30)&gt;0,"DRAFTED","")</f>
        <v/>
      </c>
    </row>
    <row r="31">
      <c r="A31" s="12" t="inlineStr">
        <is>
          <t>MLB</t>
        </is>
      </c>
      <c r="B31" s="12" t="inlineStr">
        <is>
          <t>Washington Nationals</t>
        </is>
      </c>
      <c r="C31" s="12" t="inlineStr">
        <is>
          <t>MLB: Washington Nationals</t>
        </is>
      </c>
      <c r="D31" s="11">
        <f>IF(COUNTIF('Draft Board'!$B$3:$K$13,C31)&gt;0,"DRAFTED","")</f>
        <v/>
      </c>
    </row>
    <row r="32">
      <c r="A32" s="12" t="inlineStr">
        <is>
          <t>NBA</t>
        </is>
      </c>
      <c r="B32" s="12" t="inlineStr">
        <is>
          <t>Atlanta Hawks</t>
        </is>
      </c>
      <c r="C32" s="12" t="inlineStr">
        <is>
          <t>NBA: Atlanta Hawks</t>
        </is>
      </c>
      <c r="D32" s="11">
        <f>IF(COUNTIF('Draft Board'!$B$3:$K$13,C32)&gt;0,"DRAFTED","")</f>
        <v/>
      </c>
    </row>
    <row r="33">
      <c r="A33" s="12" t="inlineStr">
        <is>
          <t>NBA</t>
        </is>
      </c>
      <c r="B33" s="12" t="inlineStr">
        <is>
          <t>Boston Celtics</t>
        </is>
      </c>
      <c r="C33" s="12" t="inlineStr">
        <is>
          <t>NBA: Boston Celtics</t>
        </is>
      </c>
      <c r="D33" s="11">
        <f>IF(COUNTIF('Draft Board'!$B$3:$K$13,C33)&gt;0,"DRAFTED","")</f>
        <v/>
      </c>
    </row>
    <row r="34">
      <c r="A34" s="12" t="inlineStr">
        <is>
          <t>NBA</t>
        </is>
      </c>
      <c r="B34" s="12" t="inlineStr">
        <is>
          <t>Brooklyn Nets</t>
        </is>
      </c>
      <c r="C34" s="12" t="inlineStr">
        <is>
          <t>NBA: Brooklyn Nets</t>
        </is>
      </c>
      <c r="D34" s="11">
        <f>IF(COUNTIF('Draft Board'!$B$3:$K$13,C34)&gt;0,"DRAFTED","")</f>
        <v/>
      </c>
    </row>
    <row r="35">
      <c r="A35" s="12" t="inlineStr">
        <is>
          <t>NBA</t>
        </is>
      </c>
      <c r="B35" s="12" t="inlineStr">
        <is>
          <t>Charlotte Hornets</t>
        </is>
      </c>
      <c r="C35" s="12" t="inlineStr">
        <is>
          <t>NBA: Charlotte Hornets</t>
        </is>
      </c>
      <c r="D35" s="11">
        <f>IF(COUNTIF('Draft Board'!$B$3:$K$13,C35)&gt;0,"DRAFTED","")</f>
        <v/>
      </c>
    </row>
    <row r="36">
      <c r="A36" s="12" t="inlineStr">
        <is>
          <t>NBA</t>
        </is>
      </c>
      <c r="B36" s="12" t="inlineStr">
        <is>
          <t>Chicago Bulls</t>
        </is>
      </c>
      <c r="C36" s="12" t="inlineStr">
        <is>
          <t>NBA: Chicago Bulls</t>
        </is>
      </c>
      <c r="D36" s="11">
        <f>IF(COUNTIF('Draft Board'!$B$3:$K$13,C36)&gt;0,"DRAFTED","")</f>
        <v/>
      </c>
    </row>
    <row r="37">
      <c r="A37" s="12" t="inlineStr">
        <is>
          <t>NBA</t>
        </is>
      </c>
      <c r="B37" s="12" t="inlineStr">
        <is>
          <t>Cleveland Cavaliers</t>
        </is>
      </c>
      <c r="C37" s="12" t="inlineStr">
        <is>
          <t>NBA: Cleveland Cavaliers</t>
        </is>
      </c>
      <c r="D37" s="11">
        <f>IF(COUNTIF('Draft Board'!$B$3:$K$13,C37)&gt;0,"DRAFTED","")</f>
        <v/>
      </c>
    </row>
    <row r="38">
      <c r="A38" s="12" t="inlineStr">
        <is>
          <t>NBA</t>
        </is>
      </c>
      <c r="B38" s="12" t="inlineStr">
        <is>
          <t>Dallas Mavericks</t>
        </is>
      </c>
      <c r="C38" s="12" t="inlineStr">
        <is>
          <t>NBA: Dallas Mavericks</t>
        </is>
      </c>
      <c r="D38" s="11">
        <f>IF(COUNTIF('Draft Board'!$B$3:$K$13,C38)&gt;0,"DRAFTED","")</f>
        <v/>
      </c>
    </row>
    <row r="39">
      <c r="A39" s="12" t="inlineStr">
        <is>
          <t>NBA</t>
        </is>
      </c>
      <c r="B39" s="12" t="inlineStr">
        <is>
          <t>Denver Nuggets</t>
        </is>
      </c>
      <c r="C39" s="12" t="inlineStr">
        <is>
          <t>NBA: Denver Nuggets</t>
        </is>
      </c>
      <c r="D39" s="11">
        <f>IF(COUNTIF('Draft Board'!$B$3:$K$13,C39)&gt;0,"DRAFTED","")</f>
        <v/>
      </c>
    </row>
    <row r="40">
      <c r="A40" s="12" t="inlineStr">
        <is>
          <t>NBA</t>
        </is>
      </c>
      <c r="B40" s="12" t="inlineStr">
        <is>
          <t>Detroit Pistons</t>
        </is>
      </c>
      <c r="C40" s="12" t="inlineStr">
        <is>
          <t>NBA: Detroit Pistons</t>
        </is>
      </c>
      <c r="D40" s="11">
        <f>IF(COUNTIF('Draft Board'!$B$3:$K$13,C40)&gt;0,"DRAFTED","")</f>
        <v/>
      </c>
    </row>
    <row r="41">
      <c r="A41" s="12" t="inlineStr">
        <is>
          <t>NBA</t>
        </is>
      </c>
      <c r="B41" s="12" t="inlineStr">
        <is>
          <t>Golden State Warriors</t>
        </is>
      </c>
      <c r="C41" s="12" t="inlineStr">
        <is>
          <t>NBA: Golden State Warriors</t>
        </is>
      </c>
      <c r="D41" s="11">
        <f>IF(COUNTIF('Draft Board'!$B$3:$K$13,C41)&gt;0,"DRAFTED","")</f>
        <v/>
      </c>
    </row>
    <row r="42">
      <c r="A42" s="12" t="inlineStr">
        <is>
          <t>NBA</t>
        </is>
      </c>
      <c r="B42" s="12" t="inlineStr">
        <is>
          <t>Houston Rockets</t>
        </is>
      </c>
      <c r="C42" s="12" t="inlineStr">
        <is>
          <t>NBA: Houston Rockets</t>
        </is>
      </c>
      <c r="D42" s="11">
        <f>IF(COUNTIF('Draft Board'!$B$3:$K$13,C42)&gt;0,"DRAFTED","")</f>
        <v/>
      </c>
    </row>
    <row r="43">
      <c r="A43" s="12" t="inlineStr">
        <is>
          <t>NBA</t>
        </is>
      </c>
      <c r="B43" s="12" t="inlineStr">
        <is>
          <t>Indiana Pacers</t>
        </is>
      </c>
      <c r="C43" s="12" t="inlineStr">
        <is>
          <t>NBA: Indiana Pacers</t>
        </is>
      </c>
      <c r="D43" s="11">
        <f>IF(COUNTIF('Draft Board'!$B$3:$K$13,C43)&gt;0,"DRAFTED","")</f>
        <v/>
      </c>
    </row>
    <row r="44">
      <c r="A44" s="12" t="inlineStr">
        <is>
          <t>NBA</t>
        </is>
      </c>
      <c r="B44" s="12" t="inlineStr">
        <is>
          <t>Los Angeles Clippers</t>
        </is>
      </c>
      <c r="C44" s="12" t="inlineStr">
        <is>
          <t>NBA: Los Angeles Clippers</t>
        </is>
      </c>
      <c r="D44" s="11">
        <f>IF(COUNTIF('Draft Board'!$B$3:$K$13,C44)&gt;0,"DRAFTED","")</f>
        <v/>
      </c>
    </row>
    <row r="45">
      <c r="A45" s="12" t="inlineStr">
        <is>
          <t>NBA</t>
        </is>
      </c>
      <c r="B45" s="12" t="inlineStr">
        <is>
          <t>Los Angeles Lakers</t>
        </is>
      </c>
      <c r="C45" s="12" t="inlineStr">
        <is>
          <t>NBA: Los Angeles Lakers</t>
        </is>
      </c>
      <c r="D45" s="11">
        <f>IF(COUNTIF('Draft Board'!$B$3:$K$13,C45)&gt;0,"DRAFTED","")</f>
        <v/>
      </c>
    </row>
    <row r="46">
      <c r="A46" s="12" t="inlineStr">
        <is>
          <t>NBA</t>
        </is>
      </c>
      <c r="B46" s="12" t="inlineStr">
        <is>
          <t>Memphis Grizzlies</t>
        </is>
      </c>
      <c r="C46" s="12" t="inlineStr">
        <is>
          <t>NBA: Memphis Grizzlies</t>
        </is>
      </c>
      <c r="D46" s="11">
        <f>IF(COUNTIF('Draft Board'!$B$3:$K$13,C46)&gt;0,"DRAFTED","")</f>
        <v/>
      </c>
    </row>
    <row r="47">
      <c r="A47" s="12" t="inlineStr">
        <is>
          <t>NBA</t>
        </is>
      </c>
      <c r="B47" s="12" t="inlineStr">
        <is>
          <t>Miami Heat</t>
        </is>
      </c>
      <c r="C47" s="12" t="inlineStr">
        <is>
          <t>NBA: Miami Heat</t>
        </is>
      </c>
      <c r="D47" s="11">
        <f>IF(COUNTIF('Draft Board'!$B$3:$K$13,C47)&gt;0,"DRAFTED","")</f>
        <v/>
      </c>
    </row>
    <row r="48">
      <c r="A48" s="12" t="inlineStr">
        <is>
          <t>NBA</t>
        </is>
      </c>
      <c r="B48" s="12" t="inlineStr">
        <is>
          <t>Milwaukee Bucks</t>
        </is>
      </c>
      <c r="C48" s="12" t="inlineStr">
        <is>
          <t>NBA: Milwaukee Bucks</t>
        </is>
      </c>
      <c r="D48" s="11">
        <f>IF(COUNTIF('Draft Board'!$B$3:$K$13,C48)&gt;0,"DRAFTED","")</f>
        <v/>
      </c>
    </row>
    <row r="49">
      <c r="A49" s="12" t="inlineStr">
        <is>
          <t>NBA</t>
        </is>
      </c>
      <c r="B49" s="12" t="inlineStr">
        <is>
          <t>Minnesota Timberwolves</t>
        </is>
      </c>
      <c r="C49" s="12" t="inlineStr">
        <is>
          <t>NBA: Minnesota Timberwolves</t>
        </is>
      </c>
      <c r="D49" s="11">
        <f>IF(COUNTIF('Draft Board'!$B$3:$K$13,C49)&gt;0,"DRAFTED","")</f>
        <v/>
      </c>
    </row>
    <row r="50">
      <c r="A50" s="12" t="inlineStr">
        <is>
          <t>NBA</t>
        </is>
      </c>
      <c r="B50" s="12" t="inlineStr">
        <is>
          <t>New Orleans Pelicans</t>
        </is>
      </c>
      <c r="C50" s="12" t="inlineStr">
        <is>
          <t>NBA: New Orleans Pelicans</t>
        </is>
      </c>
      <c r="D50" s="11">
        <f>IF(COUNTIF('Draft Board'!$B$3:$K$13,C50)&gt;0,"DRAFTED","")</f>
        <v/>
      </c>
    </row>
    <row r="51">
      <c r="A51" s="12" t="inlineStr">
        <is>
          <t>NBA</t>
        </is>
      </c>
      <c r="B51" s="12" t="inlineStr">
        <is>
          <t>New York Knicks</t>
        </is>
      </c>
      <c r="C51" s="12" t="inlineStr">
        <is>
          <t>NBA: New York Knicks</t>
        </is>
      </c>
      <c r="D51" s="11">
        <f>IF(COUNTIF('Draft Board'!$B$3:$K$13,C51)&gt;0,"DRAFTED","")</f>
        <v/>
      </c>
    </row>
    <row r="52">
      <c r="A52" s="12" t="inlineStr">
        <is>
          <t>NBA</t>
        </is>
      </c>
      <c r="B52" s="12" t="inlineStr">
        <is>
          <t>Oklahoma City Thunder</t>
        </is>
      </c>
      <c r="C52" s="12" t="inlineStr">
        <is>
          <t>NBA: Oklahoma City Thunder</t>
        </is>
      </c>
      <c r="D52" s="11">
        <f>IF(COUNTIF('Draft Board'!$B$3:$K$13,C52)&gt;0,"DRAFTED","")</f>
        <v/>
      </c>
    </row>
    <row r="53">
      <c r="A53" s="12" t="inlineStr">
        <is>
          <t>NBA</t>
        </is>
      </c>
      <c r="B53" s="12" t="inlineStr">
        <is>
          <t>Orlando Magic</t>
        </is>
      </c>
      <c r="C53" s="12" t="inlineStr">
        <is>
          <t>NBA: Orlando Magic</t>
        </is>
      </c>
      <c r="D53" s="11">
        <f>IF(COUNTIF('Draft Board'!$B$3:$K$13,C53)&gt;0,"DRAFTED","")</f>
        <v/>
      </c>
    </row>
    <row r="54">
      <c r="A54" s="12" t="inlineStr">
        <is>
          <t>NBA</t>
        </is>
      </c>
      <c r="B54" s="12" t="inlineStr">
        <is>
          <t>Philadelphia 76ers</t>
        </is>
      </c>
      <c r="C54" s="12" t="inlineStr">
        <is>
          <t>NBA: Philadelphia 76ers</t>
        </is>
      </c>
      <c r="D54" s="11">
        <f>IF(COUNTIF('Draft Board'!$B$3:$K$13,C54)&gt;0,"DRAFTED","")</f>
        <v/>
      </c>
    </row>
    <row r="55">
      <c r="A55" s="12" t="inlineStr">
        <is>
          <t>NBA</t>
        </is>
      </c>
      <c r="B55" s="12" t="inlineStr">
        <is>
          <t>Phoenix Suns</t>
        </is>
      </c>
      <c r="C55" s="12" t="inlineStr">
        <is>
          <t>NBA: Phoenix Suns</t>
        </is>
      </c>
      <c r="D55" s="11">
        <f>IF(COUNTIF('Draft Board'!$B$3:$K$13,C55)&gt;0,"DRAFTED","")</f>
        <v/>
      </c>
    </row>
    <row r="56">
      <c r="A56" s="12" t="inlineStr">
        <is>
          <t>NBA</t>
        </is>
      </c>
      <c r="B56" s="12" t="inlineStr">
        <is>
          <t>Portland Trail Blazers</t>
        </is>
      </c>
      <c r="C56" s="12" t="inlineStr">
        <is>
          <t>NBA: Portland Trail Blazers</t>
        </is>
      </c>
      <c r="D56" s="11">
        <f>IF(COUNTIF('Draft Board'!$B$3:$K$13,C56)&gt;0,"DRAFTED","")</f>
        <v/>
      </c>
    </row>
    <row r="57">
      <c r="A57" s="12" t="inlineStr">
        <is>
          <t>NBA</t>
        </is>
      </c>
      <c r="B57" s="12" t="inlineStr">
        <is>
          <t>Sacramento Kings</t>
        </is>
      </c>
      <c r="C57" s="12" t="inlineStr">
        <is>
          <t>NBA: Sacramento Kings</t>
        </is>
      </c>
      <c r="D57" s="11">
        <f>IF(COUNTIF('Draft Board'!$B$3:$K$13,C57)&gt;0,"DRAFTED","")</f>
        <v/>
      </c>
    </row>
    <row r="58">
      <c r="A58" s="12" t="inlineStr">
        <is>
          <t>NBA</t>
        </is>
      </c>
      <c r="B58" s="12" t="inlineStr">
        <is>
          <t>San Antonio Spurs</t>
        </is>
      </c>
      <c r="C58" s="12" t="inlineStr">
        <is>
          <t>NBA: San Antonio Spurs</t>
        </is>
      </c>
      <c r="D58" s="11">
        <f>IF(COUNTIF('Draft Board'!$B$3:$K$13,C58)&gt;0,"DRAFTED","")</f>
        <v/>
      </c>
    </row>
    <row r="59">
      <c r="A59" s="12" t="inlineStr">
        <is>
          <t>NBA</t>
        </is>
      </c>
      <c r="B59" s="12" t="inlineStr">
        <is>
          <t>Toronto Raptors</t>
        </is>
      </c>
      <c r="C59" s="12" t="inlineStr">
        <is>
          <t>NBA: Toronto Raptors</t>
        </is>
      </c>
      <c r="D59" s="11">
        <f>IF(COUNTIF('Draft Board'!$B$3:$K$13,C59)&gt;0,"DRAFTED","")</f>
        <v/>
      </c>
    </row>
    <row r="60">
      <c r="A60" s="12" t="inlineStr">
        <is>
          <t>NBA</t>
        </is>
      </c>
      <c r="B60" s="12" t="inlineStr">
        <is>
          <t>Utah Jazz</t>
        </is>
      </c>
      <c r="C60" s="12" t="inlineStr">
        <is>
          <t>NBA: Utah Jazz</t>
        </is>
      </c>
      <c r="D60" s="11">
        <f>IF(COUNTIF('Draft Board'!$B$3:$K$13,C60)&gt;0,"DRAFTED","")</f>
        <v/>
      </c>
    </row>
    <row r="61">
      <c r="A61" s="12" t="inlineStr">
        <is>
          <t>NBA</t>
        </is>
      </c>
      <c r="B61" s="12" t="inlineStr">
        <is>
          <t>Washington Wizards</t>
        </is>
      </c>
      <c r="C61" s="12" t="inlineStr">
        <is>
          <t>NBA: Washington Wizards</t>
        </is>
      </c>
      <c r="D61" s="11">
        <f>IF(COUNTIF('Draft Board'!$B$3:$K$13,C61)&gt;0,"DRAFTED","")</f>
        <v/>
      </c>
    </row>
    <row r="62">
      <c r="A62" s="12" t="inlineStr">
        <is>
          <t>NHL</t>
        </is>
      </c>
      <c r="B62" s="12" t="inlineStr">
        <is>
          <t>Anaheim Ducks</t>
        </is>
      </c>
      <c r="C62" s="12" t="inlineStr">
        <is>
          <t>NHL: Anaheim Ducks</t>
        </is>
      </c>
      <c r="D62" s="11">
        <f>IF(COUNTIF('Draft Board'!$B$3:$K$13,C62)&gt;0,"DRAFTED","")</f>
        <v/>
      </c>
    </row>
    <row r="63">
      <c r="A63" s="12" t="inlineStr">
        <is>
          <t>NHL</t>
        </is>
      </c>
      <c r="B63" s="12" t="inlineStr">
        <is>
          <t>Boston Bruins</t>
        </is>
      </c>
      <c r="C63" s="12" t="inlineStr">
        <is>
          <t>NHL: Boston Bruins</t>
        </is>
      </c>
      <c r="D63" s="11">
        <f>IF(COUNTIF('Draft Board'!$B$3:$K$13,C63)&gt;0,"DRAFTED","")</f>
        <v/>
      </c>
    </row>
    <row r="64">
      <c r="A64" s="12" t="inlineStr">
        <is>
          <t>NHL</t>
        </is>
      </c>
      <c r="B64" s="12" t="inlineStr">
        <is>
          <t>Buffalo Sabres</t>
        </is>
      </c>
      <c r="C64" s="12" t="inlineStr">
        <is>
          <t>NHL: Buffalo Sabres</t>
        </is>
      </c>
      <c r="D64" s="11">
        <f>IF(COUNTIF('Draft Board'!$B$3:$K$13,C64)&gt;0,"DRAFTED","")</f>
        <v/>
      </c>
    </row>
    <row r="65">
      <c r="A65" s="12" t="inlineStr">
        <is>
          <t>NHL</t>
        </is>
      </c>
      <c r="B65" s="12" t="inlineStr">
        <is>
          <t>Calgary Flames</t>
        </is>
      </c>
      <c r="C65" s="12" t="inlineStr">
        <is>
          <t>NHL: Calgary Flames</t>
        </is>
      </c>
      <c r="D65" s="11">
        <f>IF(COUNTIF('Draft Board'!$B$3:$K$13,C65)&gt;0,"DRAFTED","")</f>
        <v/>
      </c>
    </row>
    <row r="66">
      <c r="A66" s="12" t="inlineStr">
        <is>
          <t>NHL</t>
        </is>
      </c>
      <c r="B66" s="12" t="inlineStr">
        <is>
          <t>Carolina Hurricanes</t>
        </is>
      </c>
      <c r="C66" s="12" t="inlineStr">
        <is>
          <t>NHL: Carolina Hurricanes</t>
        </is>
      </c>
      <c r="D66" s="11">
        <f>IF(COUNTIF('Draft Board'!$B$3:$K$13,C66)&gt;0,"DRAFTED","")</f>
        <v/>
      </c>
    </row>
    <row r="67">
      <c r="A67" s="12" t="inlineStr">
        <is>
          <t>NHL</t>
        </is>
      </c>
      <c r="B67" s="12" t="inlineStr">
        <is>
          <t>Chicago Blackhawks</t>
        </is>
      </c>
      <c r="C67" s="12" t="inlineStr">
        <is>
          <t>NHL: Chicago Blackhawks</t>
        </is>
      </c>
      <c r="D67" s="11">
        <f>IF(COUNTIF('Draft Board'!$B$3:$K$13,C67)&gt;0,"DRAFTED","")</f>
        <v/>
      </c>
    </row>
    <row r="68">
      <c r="A68" s="12" t="inlineStr">
        <is>
          <t>NHL</t>
        </is>
      </c>
      <c r="B68" s="12" t="inlineStr">
        <is>
          <t>Colorado Avalanche</t>
        </is>
      </c>
      <c r="C68" s="12" t="inlineStr">
        <is>
          <t>NHL: Colorado Avalanche</t>
        </is>
      </c>
      <c r="D68" s="11">
        <f>IF(COUNTIF('Draft Board'!$B$3:$K$13,C68)&gt;0,"DRAFTED","")</f>
        <v/>
      </c>
    </row>
    <row r="69">
      <c r="A69" s="12" t="inlineStr">
        <is>
          <t>NHL</t>
        </is>
      </c>
      <c r="B69" s="12" t="inlineStr">
        <is>
          <t>Columbus Blue Jackets</t>
        </is>
      </c>
      <c r="C69" s="12" t="inlineStr">
        <is>
          <t>NHL: Columbus Blue Jackets</t>
        </is>
      </c>
      <c r="D69" s="11">
        <f>IF(COUNTIF('Draft Board'!$B$3:$K$13,C69)&gt;0,"DRAFTED","")</f>
        <v/>
      </c>
    </row>
    <row r="70">
      <c r="A70" s="12" t="inlineStr">
        <is>
          <t>NHL</t>
        </is>
      </c>
      <c r="B70" s="12" t="inlineStr">
        <is>
          <t>Dallas Stars</t>
        </is>
      </c>
      <c r="C70" s="12" t="inlineStr">
        <is>
          <t>NHL: Dallas Stars</t>
        </is>
      </c>
      <c r="D70" s="11">
        <f>IF(COUNTIF('Draft Board'!$B$3:$K$13,C70)&gt;0,"DRAFTED","")</f>
        <v/>
      </c>
    </row>
    <row r="71">
      <c r="A71" s="12" t="inlineStr">
        <is>
          <t>NHL</t>
        </is>
      </c>
      <c r="B71" s="12" t="inlineStr">
        <is>
          <t>Detroit Red Wings</t>
        </is>
      </c>
      <c r="C71" s="12" t="inlineStr">
        <is>
          <t>NHL: Detroit Red Wings</t>
        </is>
      </c>
      <c r="D71" s="11">
        <f>IF(COUNTIF('Draft Board'!$B$3:$K$13,C71)&gt;0,"DRAFTED","")</f>
        <v/>
      </c>
    </row>
    <row r="72">
      <c r="A72" s="12" t="inlineStr">
        <is>
          <t>NHL</t>
        </is>
      </c>
      <c r="B72" s="12" t="inlineStr">
        <is>
          <t>Edmonton Oilers</t>
        </is>
      </c>
      <c r="C72" s="12" t="inlineStr">
        <is>
          <t>NHL: Edmonton Oilers</t>
        </is>
      </c>
      <c r="D72" s="11">
        <f>IF(COUNTIF('Draft Board'!$B$3:$K$13,C72)&gt;0,"DRAFTED","")</f>
        <v/>
      </c>
    </row>
    <row r="73">
      <c r="A73" s="12" t="inlineStr">
        <is>
          <t>NHL</t>
        </is>
      </c>
      <c r="B73" s="12" t="inlineStr">
        <is>
          <t>Florida Panthers</t>
        </is>
      </c>
      <c r="C73" s="12" t="inlineStr">
        <is>
          <t>NHL: Florida Panthers</t>
        </is>
      </c>
      <c r="D73" s="11">
        <f>IF(COUNTIF('Draft Board'!$B$3:$K$13,C73)&gt;0,"DRAFTED","")</f>
        <v/>
      </c>
    </row>
    <row r="74">
      <c r="A74" s="12" t="inlineStr">
        <is>
          <t>NHL</t>
        </is>
      </c>
      <c r="B74" s="12" t="inlineStr">
        <is>
          <t>Los Angeles Kings</t>
        </is>
      </c>
      <c r="C74" s="12" t="inlineStr">
        <is>
          <t>NHL: Los Angeles Kings</t>
        </is>
      </c>
      <c r="D74" s="11">
        <f>IF(COUNTIF('Draft Board'!$B$3:$K$13,C74)&gt;0,"DRAFTED","")</f>
        <v/>
      </c>
    </row>
    <row r="75">
      <c r="A75" s="12" t="inlineStr">
        <is>
          <t>NHL</t>
        </is>
      </c>
      <c r="B75" s="12" t="inlineStr">
        <is>
          <t>Minnesota Wild</t>
        </is>
      </c>
      <c r="C75" s="12" t="inlineStr">
        <is>
          <t>NHL: Minnesota Wild</t>
        </is>
      </c>
      <c r="D75" s="11">
        <f>IF(COUNTIF('Draft Board'!$B$3:$K$13,C75)&gt;0,"DRAFTED","")</f>
        <v/>
      </c>
    </row>
    <row r="76">
      <c r="A76" s="12" t="inlineStr">
        <is>
          <t>NHL</t>
        </is>
      </c>
      <c r="B76" s="12" t="inlineStr">
        <is>
          <t>Montreal Canadiens</t>
        </is>
      </c>
      <c r="C76" s="12" t="inlineStr">
        <is>
          <t>NHL: Montreal Canadiens</t>
        </is>
      </c>
      <c r="D76" s="11">
        <f>IF(COUNTIF('Draft Board'!$B$3:$K$13,C76)&gt;0,"DRAFTED","")</f>
        <v/>
      </c>
    </row>
    <row r="77">
      <c r="A77" s="12" t="inlineStr">
        <is>
          <t>NHL</t>
        </is>
      </c>
      <c r="B77" s="12" t="inlineStr">
        <is>
          <t>Nashville Predators</t>
        </is>
      </c>
      <c r="C77" s="12" t="inlineStr">
        <is>
          <t>NHL: Nashville Predators</t>
        </is>
      </c>
      <c r="D77" s="11">
        <f>IF(COUNTIF('Draft Board'!$B$3:$K$13,C77)&gt;0,"DRAFTED","")</f>
        <v/>
      </c>
    </row>
    <row r="78">
      <c r="A78" s="12" t="inlineStr">
        <is>
          <t>NHL</t>
        </is>
      </c>
      <c r="B78" s="12" t="inlineStr">
        <is>
          <t>New Jersey Devils</t>
        </is>
      </c>
      <c r="C78" s="12" t="inlineStr">
        <is>
          <t>NHL: New Jersey Devils</t>
        </is>
      </c>
      <c r="D78" s="11">
        <f>IF(COUNTIF('Draft Board'!$B$3:$K$13,C78)&gt;0,"DRAFTED","")</f>
        <v/>
      </c>
    </row>
    <row r="79">
      <c r="A79" s="12" t="inlineStr">
        <is>
          <t>NHL</t>
        </is>
      </c>
      <c r="B79" s="12" t="inlineStr">
        <is>
          <t>New York Islanders</t>
        </is>
      </c>
      <c r="C79" s="12" t="inlineStr">
        <is>
          <t>NHL: New York Islanders</t>
        </is>
      </c>
      <c r="D79" s="11">
        <f>IF(COUNTIF('Draft Board'!$B$3:$K$13,C79)&gt;0,"DRAFTED","")</f>
        <v/>
      </c>
    </row>
    <row r="80">
      <c r="A80" s="12" t="inlineStr">
        <is>
          <t>NHL</t>
        </is>
      </c>
      <c r="B80" s="12" t="inlineStr">
        <is>
          <t>New York Rangers</t>
        </is>
      </c>
      <c r="C80" s="12" t="inlineStr">
        <is>
          <t>NHL: New York Rangers</t>
        </is>
      </c>
      <c r="D80" s="11">
        <f>IF(COUNTIF('Draft Board'!$B$3:$K$13,C80)&gt;0,"DRAFTED","")</f>
        <v/>
      </c>
    </row>
    <row r="81">
      <c r="A81" s="12" t="inlineStr">
        <is>
          <t>NHL</t>
        </is>
      </c>
      <c r="B81" s="12" t="inlineStr">
        <is>
          <t>Ottawa Senators</t>
        </is>
      </c>
      <c r="C81" s="12" t="inlineStr">
        <is>
          <t>NHL: Ottawa Senators</t>
        </is>
      </c>
      <c r="D81" s="11">
        <f>IF(COUNTIF('Draft Board'!$B$3:$K$13,C81)&gt;0,"DRAFTED","")</f>
        <v/>
      </c>
    </row>
    <row r="82">
      <c r="A82" s="12" t="inlineStr">
        <is>
          <t>NHL</t>
        </is>
      </c>
      <c r="B82" s="12" t="inlineStr">
        <is>
          <t>Philadelphia Flyers</t>
        </is>
      </c>
      <c r="C82" s="12" t="inlineStr">
        <is>
          <t>NHL: Philadelphia Flyers</t>
        </is>
      </c>
      <c r="D82" s="11">
        <f>IF(COUNTIF('Draft Board'!$B$3:$K$13,C82)&gt;0,"DRAFTED","")</f>
        <v/>
      </c>
    </row>
    <row r="83">
      <c r="A83" s="12" t="inlineStr">
        <is>
          <t>NHL</t>
        </is>
      </c>
      <c r="B83" s="12" t="inlineStr">
        <is>
          <t>Pittsburgh Penguins</t>
        </is>
      </c>
      <c r="C83" s="12" t="inlineStr">
        <is>
          <t>NHL: Pittsburgh Penguins</t>
        </is>
      </c>
      <c r="D83" s="11">
        <f>IF(COUNTIF('Draft Board'!$B$3:$K$13,C83)&gt;0,"DRAFTED","")</f>
        <v/>
      </c>
    </row>
    <row r="84">
      <c r="A84" s="12" t="inlineStr">
        <is>
          <t>NHL</t>
        </is>
      </c>
      <c r="B84" s="12" t="inlineStr">
        <is>
          <t>San Jose Sharks</t>
        </is>
      </c>
      <c r="C84" s="12" t="inlineStr">
        <is>
          <t>NHL: San Jose Sharks</t>
        </is>
      </c>
      <c r="D84" s="11">
        <f>IF(COUNTIF('Draft Board'!$B$3:$K$13,C84)&gt;0,"DRAFTED","")</f>
        <v/>
      </c>
    </row>
    <row r="85">
      <c r="A85" s="12" t="inlineStr">
        <is>
          <t>NHL</t>
        </is>
      </c>
      <c r="B85" s="12" t="inlineStr">
        <is>
          <t>Seattle Kraken</t>
        </is>
      </c>
      <c r="C85" s="12" t="inlineStr">
        <is>
          <t>NHL: Seattle Kraken</t>
        </is>
      </c>
      <c r="D85" s="11">
        <f>IF(COUNTIF('Draft Board'!$B$3:$K$13,C85)&gt;0,"DRAFTED","")</f>
        <v/>
      </c>
    </row>
    <row r="86">
      <c r="A86" s="12" t="inlineStr">
        <is>
          <t>NHL</t>
        </is>
      </c>
      <c r="B86" s="12" t="inlineStr">
        <is>
          <t>St. Louis Blues</t>
        </is>
      </c>
      <c r="C86" s="12" t="inlineStr">
        <is>
          <t>NHL: St. Louis Blues</t>
        </is>
      </c>
      <c r="D86" s="11">
        <f>IF(COUNTIF('Draft Board'!$B$3:$K$13,C86)&gt;0,"DRAFTED","")</f>
        <v/>
      </c>
    </row>
    <row r="87">
      <c r="A87" s="12" t="inlineStr">
        <is>
          <t>NHL</t>
        </is>
      </c>
      <c r="B87" s="12" t="inlineStr">
        <is>
          <t>Tampa Bay Lightning</t>
        </is>
      </c>
      <c r="C87" s="12" t="inlineStr">
        <is>
          <t>NHL: Tampa Bay Lightning</t>
        </is>
      </c>
      <c r="D87" s="11">
        <f>IF(COUNTIF('Draft Board'!$B$3:$K$13,C87)&gt;0,"DRAFTED","")</f>
        <v/>
      </c>
    </row>
    <row r="88">
      <c r="A88" s="12" t="inlineStr">
        <is>
          <t>NHL</t>
        </is>
      </c>
      <c r="B88" s="12" t="inlineStr">
        <is>
          <t>Toronto Maple Leafs</t>
        </is>
      </c>
      <c r="C88" s="12" t="inlineStr">
        <is>
          <t>NHL: Toronto Maple Leafs</t>
        </is>
      </c>
      <c r="D88" s="11">
        <f>IF(COUNTIF('Draft Board'!$B$3:$K$13,C88)&gt;0,"DRAFTED","")</f>
        <v/>
      </c>
    </row>
    <row r="89">
      <c r="A89" s="12" t="inlineStr">
        <is>
          <t>NHL</t>
        </is>
      </c>
      <c r="B89" s="12" t="inlineStr">
        <is>
          <t>Utah Mammoth</t>
        </is>
      </c>
      <c r="C89" s="12" t="inlineStr">
        <is>
          <t>NHL: Utah Mammoth</t>
        </is>
      </c>
      <c r="D89" s="11">
        <f>IF(COUNTIF('Draft Board'!$B$3:$K$13,C89)&gt;0,"DRAFTED","")</f>
        <v/>
      </c>
    </row>
    <row r="90">
      <c r="A90" s="12" t="inlineStr">
        <is>
          <t>NHL</t>
        </is>
      </c>
      <c r="B90" s="12" t="inlineStr">
        <is>
          <t>Vancouver Canucks</t>
        </is>
      </c>
      <c r="C90" s="12" t="inlineStr">
        <is>
          <t>NHL: Vancouver Canucks</t>
        </is>
      </c>
      <c r="D90" s="11">
        <f>IF(COUNTIF('Draft Board'!$B$3:$K$13,C90)&gt;0,"DRAFTED","")</f>
        <v/>
      </c>
    </row>
    <row r="91">
      <c r="A91" s="12" t="inlineStr">
        <is>
          <t>NHL</t>
        </is>
      </c>
      <c r="B91" s="12" t="inlineStr">
        <is>
          <t>Vegas Golden Knights</t>
        </is>
      </c>
      <c r="C91" s="12" t="inlineStr">
        <is>
          <t>NHL: Vegas Golden Knights</t>
        </is>
      </c>
      <c r="D91" s="11">
        <f>IF(COUNTIF('Draft Board'!$B$3:$K$13,C91)&gt;0,"DRAFTED","")</f>
        <v/>
      </c>
    </row>
    <row r="92">
      <c r="A92" s="12" t="inlineStr">
        <is>
          <t>NHL</t>
        </is>
      </c>
      <c r="B92" s="12" t="inlineStr">
        <is>
          <t>Washington Capitals</t>
        </is>
      </c>
      <c r="C92" s="12" t="inlineStr">
        <is>
          <t>NHL: Washington Capitals</t>
        </is>
      </c>
      <c r="D92" s="11">
        <f>IF(COUNTIF('Draft Board'!$B$3:$K$13,C92)&gt;0,"DRAFTED","")</f>
        <v/>
      </c>
    </row>
    <row r="93">
      <c r="A93" s="12" t="inlineStr">
        <is>
          <t>NHL</t>
        </is>
      </c>
      <c r="B93" s="12" t="inlineStr">
        <is>
          <t>Winnipeg Jets</t>
        </is>
      </c>
      <c r="C93" s="12" t="inlineStr">
        <is>
          <t>NHL: Winnipeg Jets</t>
        </is>
      </c>
      <c r="D93" s="11">
        <f>IF(COUNTIF('Draft Board'!$B$3:$K$13,C93)&gt;0,"DRAFTED","")</f>
        <v/>
      </c>
    </row>
    <row r="94">
      <c r="A94" s="12" t="inlineStr">
        <is>
          <t>NFL</t>
        </is>
      </c>
      <c r="B94" s="12" t="inlineStr">
        <is>
          <t>Arizona Cardinals</t>
        </is>
      </c>
      <c r="C94" s="12" t="inlineStr">
        <is>
          <t>NFL: Arizona Cardinals</t>
        </is>
      </c>
      <c r="D94" s="11">
        <f>IF(COUNTIF('Draft Board'!$B$3:$K$13,C94)&gt;0,"DRAFTED","")</f>
        <v/>
      </c>
    </row>
    <row r="95">
      <c r="A95" s="12" t="inlineStr">
        <is>
          <t>NFL</t>
        </is>
      </c>
      <c r="B95" s="12" t="inlineStr">
        <is>
          <t>Atlanta Falcons</t>
        </is>
      </c>
      <c r="C95" s="12" t="inlineStr">
        <is>
          <t>NFL: Atlanta Falcons</t>
        </is>
      </c>
      <c r="D95" s="11">
        <f>IF(COUNTIF('Draft Board'!$B$3:$K$13,C95)&gt;0,"DRAFTED","")</f>
        <v/>
      </c>
    </row>
    <row r="96">
      <c r="A96" s="12" t="inlineStr">
        <is>
          <t>NFL</t>
        </is>
      </c>
      <c r="B96" s="12" t="inlineStr">
        <is>
          <t>Baltimore Ravens</t>
        </is>
      </c>
      <c r="C96" s="12" t="inlineStr">
        <is>
          <t>NFL: Baltimore Ravens</t>
        </is>
      </c>
      <c r="D96" s="11">
        <f>IF(COUNTIF('Draft Board'!$B$3:$K$13,C96)&gt;0,"DRAFTED","")</f>
        <v/>
      </c>
    </row>
    <row r="97">
      <c r="A97" s="12" t="inlineStr">
        <is>
          <t>NFL</t>
        </is>
      </c>
      <c r="B97" s="12" t="inlineStr">
        <is>
          <t>Buffalo Bills</t>
        </is>
      </c>
      <c r="C97" s="12" t="inlineStr">
        <is>
          <t>NFL: Buffalo Bills</t>
        </is>
      </c>
      <c r="D97" s="11">
        <f>IF(COUNTIF('Draft Board'!$B$3:$K$13,C97)&gt;0,"DRAFTED","")</f>
        <v/>
      </c>
    </row>
    <row r="98">
      <c r="A98" s="12" t="inlineStr">
        <is>
          <t>NFL</t>
        </is>
      </c>
      <c r="B98" s="12" t="inlineStr">
        <is>
          <t>Carolina Panthers</t>
        </is>
      </c>
      <c r="C98" s="12" t="inlineStr">
        <is>
          <t>NFL: Carolina Panthers</t>
        </is>
      </c>
      <c r="D98" s="11">
        <f>IF(COUNTIF('Draft Board'!$B$3:$K$13,C98)&gt;0,"DRAFTED","")</f>
        <v/>
      </c>
    </row>
    <row r="99">
      <c r="A99" s="12" t="inlineStr">
        <is>
          <t>NFL</t>
        </is>
      </c>
      <c r="B99" s="12" t="inlineStr">
        <is>
          <t>Chicago Bears</t>
        </is>
      </c>
      <c r="C99" s="12" t="inlineStr">
        <is>
          <t>NFL: Chicago Bears</t>
        </is>
      </c>
      <c r="D99" s="11">
        <f>IF(COUNTIF('Draft Board'!$B$3:$K$13,C99)&gt;0,"DRAFTED","")</f>
        <v/>
      </c>
    </row>
    <row r="100">
      <c r="A100" s="12" t="inlineStr">
        <is>
          <t>NFL</t>
        </is>
      </c>
      <c r="B100" s="12" t="inlineStr">
        <is>
          <t>Cincinnati Bengals</t>
        </is>
      </c>
      <c r="C100" s="12" t="inlineStr">
        <is>
          <t>NFL: Cincinnati Bengals</t>
        </is>
      </c>
      <c r="D100" s="11">
        <f>IF(COUNTIF('Draft Board'!$B$3:$K$13,C100)&gt;0,"DRAFTED","")</f>
        <v/>
      </c>
    </row>
    <row r="101">
      <c r="A101" s="12" t="inlineStr">
        <is>
          <t>NFL</t>
        </is>
      </c>
      <c r="B101" s="12" t="inlineStr">
        <is>
          <t>Cleveland Browns</t>
        </is>
      </c>
      <c r="C101" s="12" t="inlineStr">
        <is>
          <t>NFL: Cleveland Browns</t>
        </is>
      </c>
      <c r="D101" s="11">
        <f>IF(COUNTIF('Draft Board'!$B$3:$K$13,C101)&gt;0,"DRAFTED","")</f>
        <v/>
      </c>
    </row>
    <row r="102">
      <c r="A102" s="12" t="inlineStr">
        <is>
          <t>NFL</t>
        </is>
      </c>
      <c r="B102" s="12" t="inlineStr">
        <is>
          <t>Dallas Cowboys</t>
        </is>
      </c>
      <c r="C102" s="12" t="inlineStr">
        <is>
          <t>NFL: Dallas Cowboys</t>
        </is>
      </c>
      <c r="D102" s="11">
        <f>IF(COUNTIF('Draft Board'!$B$3:$K$13,C102)&gt;0,"DRAFTED","")</f>
        <v/>
      </c>
    </row>
    <row r="103">
      <c r="A103" s="12" t="inlineStr">
        <is>
          <t>NFL</t>
        </is>
      </c>
      <c r="B103" s="12" t="inlineStr">
        <is>
          <t>Denver Broncos</t>
        </is>
      </c>
      <c r="C103" s="12" t="inlineStr">
        <is>
          <t>NFL: Denver Broncos</t>
        </is>
      </c>
      <c r="D103" s="11">
        <f>IF(COUNTIF('Draft Board'!$B$3:$K$13,C103)&gt;0,"DRAFTED","")</f>
        <v/>
      </c>
    </row>
    <row r="104">
      <c r="A104" s="12" t="inlineStr">
        <is>
          <t>NFL</t>
        </is>
      </c>
      <c r="B104" s="12" t="inlineStr">
        <is>
          <t>Detroit Lions</t>
        </is>
      </c>
      <c r="C104" s="12" t="inlineStr">
        <is>
          <t>NFL: Detroit Lions</t>
        </is>
      </c>
      <c r="D104" s="11">
        <f>IF(COUNTIF('Draft Board'!$B$3:$K$13,C104)&gt;0,"DRAFTED","")</f>
        <v/>
      </c>
    </row>
    <row r="105">
      <c r="A105" s="12" t="inlineStr">
        <is>
          <t>NFL</t>
        </is>
      </c>
      <c r="B105" s="12" t="inlineStr">
        <is>
          <t>Green Bay Packers</t>
        </is>
      </c>
      <c r="C105" s="12" t="inlineStr">
        <is>
          <t>NFL: Green Bay Packers</t>
        </is>
      </c>
      <c r="D105" s="11">
        <f>IF(COUNTIF('Draft Board'!$B$3:$K$13,C105)&gt;0,"DRAFTED","")</f>
        <v/>
      </c>
    </row>
    <row r="106">
      <c r="A106" s="12" t="inlineStr">
        <is>
          <t>NFL</t>
        </is>
      </c>
      <c r="B106" s="12" t="inlineStr">
        <is>
          <t>Houston Texans</t>
        </is>
      </c>
      <c r="C106" s="12" t="inlineStr">
        <is>
          <t>NFL: Houston Texans</t>
        </is>
      </c>
      <c r="D106" s="11">
        <f>IF(COUNTIF('Draft Board'!$B$3:$K$13,C106)&gt;0,"DRAFTED","")</f>
        <v/>
      </c>
    </row>
    <row r="107">
      <c r="A107" s="12" t="inlineStr">
        <is>
          <t>NFL</t>
        </is>
      </c>
      <c r="B107" s="12" t="inlineStr">
        <is>
          <t>Indianapolis Colts</t>
        </is>
      </c>
      <c r="C107" s="12" t="inlineStr">
        <is>
          <t>NFL: Indianapolis Colts</t>
        </is>
      </c>
      <c r="D107" s="11">
        <f>IF(COUNTIF('Draft Board'!$B$3:$K$13,C107)&gt;0,"DRAFTED","")</f>
        <v/>
      </c>
    </row>
    <row r="108">
      <c r="A108" s="12" t="inlineStr">
        <is>
          <t>NFL</t>
        </is>
      </c>
      <c r="B108" s="12" t="inlineStr">
        <is>
          <t>Jacksonville Jaguars</t>
        </is>
      </c>
      <c r="C108" s="12" t="inlineStr">
        <is>
          <t>NFL: Jacksonville Jaguars</t>
        </is>
      </c>
      <c r="D108" s="11">
        <f>IF(COUNTIF('Draft Board'!$B$3:$K$13,C108)&gt;0,"DRAFTED","")</f>
        <v/>
      </c>
    </row>
    <row r="109">
      <c r="A109" s="12" t="inlineStr">
        <is>
          <t>NFL</t>
        </is>
      </c>
      <c r="B109" s="12" t="inlineStr">
        <is>
          <t>Kansas City Chiefs</t>
        </is>
      </c>
      <c r="C109" s="12" t="inlineStr">
        <is>
          <t>NFL: Kansas City Chiefs</t>
        </is>
      </c>
      <c r="D109" s="11">
        <f>IF(COUNTIF('Draft Board'!$B$3:$K$13,C109)&gt;0,"DRAFTED","")</f>
        <v/>
      </c>
    </row>
    <row r="110">
      <c r="A110" s="12" t="inlineStr">
        <is>
          <t>NFL</t>
        </is>
      </c>
      <c r="B110" s="12" t="inlineStr">
        <is>
          <t>Las Vegas Raiders</t>
        </is>
      </c>
      <c r="C110" s="12" t="inlineStr">
        <is>
          <t>NFL: Las Vegas Raiders</t>
        </is>
      </c>
      <c r="D110" s="11">
        <f>IF(COUNTIF('Draft Board'!$B$3:$K$13,C110)&gt;0,"DRAFTED","")</f>
        <v/>
      </c>
    </row>
    <row r="111">
      <c r="A111" s="12" t="inlineStr">
        <is>
          <t>NFL</t>
        </is>
      </c>
      <c r="B111" s="12" t="inlineStr">
        <is>
          <t>Los Angeles Chargers</t>
        </is>
      </c>
      <c r="C111" s="12" t="inlineStr">
        <is>
          <t>NFL: Los Angeles Chargers</t>
        </is>
      </c>
      <c r="D111" s="11">
        <f>IF(COUNTIF('Draft Board'!$B$3:$K$13,C111)&gt;0,"DRAFTED","")</f>
        <v/>
      </c>
    </row>
    <row r="112">
      <c r="A112" s="12" t="inlineStr">
        <is>
          <t>NFL</t>
        </is>
      </c>
      <c r="B112" s="12" t="inlineStr">
        <is>
          <t>Los Angeles Rams</t>
        </is>
      </c>
      <c r="C112" s="12" t="inlineStr">
        <is>
          <t>NFL: Los Angeles Rams</t>
        </is>
      </c>
      <c r="D112" s="11">
        <f>IF(COUNTIF('Draft Board'!$B$3:$K$13,C112)&gt;0,"DRAFTED","")</f>
        <v/>
      </c>
    </row>
    <row r="113">
      <c r="A113" s="12" t="inlineStr">
        <is>
          <t>NFL</t>
        </is>
      </c>
      <c r="B113" s="12" t="inlineStr">
        <is>
          <t>Miami Dolphins</t>
        </is>
      </c>
      <c r="C113" s="12" t="inlineStr">
        <is>
          <t>NFL: Miami Dolphins</t>
        </is>
      </c>
      <c r="D113" s="11">
        <f>IF(COUNTIF('Draft Board'!$B$3:$K$13,C113)&gt;0,"DRAFTED","")</f>
        <v/>
      </c>
    </row>
    <row r="114">
      <c r="A114" s="12" t="inlineStr">
        <is>
          <t>NFL</t>
        </is>
      </c>
      <c r="B114" s="12" t="inlineStr">
        <is>
          <t>Minnesota Vikings</t>
        </is>
      </c>
      <c r="C114" s="12" t="inlineStr">
        <is>
          <t>NFL: Minnesota Vikings</t>
        </is>
      </c>
      <c r="D114" s="11">
        <f>IF(COUNTIF('Draft Board'!$B$3:$K$13,C114)&gt;0,"DRAFTED","")</f>
        <v/>
      </c>
    </row>
    <row r="115">
      <c r="A115" s="12" t="inlineStr">
        <is>
          <t>NFL</t>
        </is>
      </c>
      <c r="B115" s="12" t="inlineStr">
        <is>
          <t>New England Patriots</t>
        </is>
      </c>
      <c r="C115" s="12" t="inlineStr">
        <is>
          <t>NFL: New England Patriots</t>
        </is>
      </c>
      <c r="D115" s="11">
        <f>IF(COUNTIF('Draft Board'!$B$3:$K$13,C115)&gt;0,"DRAFTED","")</f>
        <v/>
      </c>
    </row>
    <row r="116">
      <c r="A116" s="12" t="inlineStr">
        <is>
          <t>NFL</t>
        </is>
      </c>
      <c r="B116" s="12" t="inlineStr">
        <is>
          <t>New Orleans Saints</t>
        </is>
      </c>
      <c r="C116" s="12" t="inlineStr">
        <is>
          <t>NFL: New Orleans Saints</t>
        </is>
      </c>
      <c r="D116" s="11">
        <f>IF(COUNTIF('Draft Board'!$B$3:$K$13,C116)&gt;0,"DRAFTED","")</f>
        <v/>
      </c>
    </row>
    <row r="117">
      <c r="A117" s="12" t="inlineStr">
        <is>
          <t>NFL</t>
        </is>
      </c>
      <c r="B117" s="12" t="inlineStr">
        <is>
          <t>New York Giants</t>
        </is>
      </c>
      <c r="C117" s="12" t="inlineStr">
        <is>
          <t>NFL: New York Giants</t>
        </is>
      </c>
      <c r="D117" s="11">
        <f>IF(COUNTIF('Draft Board'!$B$3:$K$13,C117)&gt;0,"DRAFTED","")</f>
        <v/>
      </c>
    </row>
    <row r="118">
      <c r="A118" s="12" t="inlineStr">
        <is>
          <t>NFL</t>
        </is>
      </c>
      <c r="B118" s="12" t="inlineStr">
        <is>
          <t>New York Jets</t>
        </is>
      </c>
      <c r="C118" s="12" t="inlineStr">
        <is>
          <t>NFL: New York Jets</t>
        </is>
      </c>
      <c r="D118" s="11">
        <f>IF(COUNTIF('Draft Board'!$B$3:$K$13,C118)&gt;0,"DRAFTED","")</f>
        <v/>
      </c>
    </row>
    <row r="119">
      <c r="A119" s="12" t="inlineStr">
        <is>
          <t>NFL</t>
        </is>
      </c>
      <c r="B119" s="12" t="inlineStr">
        <is>
          <t>Philadelphia Eagles</t>
        </is>
      </c>
      <c r="C119" s="12" t="inlineStr">
        <is>
          <t>NFL: Philadelphia Eagles</t>
        </is>
      </c>
      <c r="D119" s="11">
        <f>IF(COUNTIF('Draft Board'!$B$3:$K$13,C119)&gt;0,"DRAFTED","")</f>
        <v/>
      </c>
    </row>
    <row r="120">
      <c r="A120" s="12" t="inlineStr">
        <is>
          <t>NFL</t>
        </is>
      </c>
      <c r="B120" s="12" t="inlineStr">
        <is>
          <t>Pittsburgh Steelers</t>
        </is>
      </c>
      <c r="C120" s="12" t="inlineStr">
        <is>
          <t>NFL: Pittsburgh Steelers</t>
        </is>
      </c>
      <c r="D120" s="11">
        <f>IF(COUNTIF('Draft Board'!$B$3:$K$13,C120)&gt;0,"DRAFTED","")</f>
        <v/>
      </c>
    </row>
    <row r="121">
      <c r="A121" s="12" t="inlineStr">
        <is>
          <t>NFL</t>
        </is>
      </c>
      <c r="B121" s="12" t="inlineStr">
        <is>
          <t>San Francisco 49ers</t>
        </is>
      </c>
      <c r="C121" s="12" t="inlineStr">
        <is>
          <t>NFL: San Francisco 49ers</t>
        </is>
      </c>
      <c r="D121" s="11">
        <f>IF(COUNTIF('Draft Board'!$B$3:$K$13,C121)&gt;0,"DRAFTED","")</f>
        <v/>
      </c>
    </row>
    <row r="122">
      <c r="A122" s="12" t="inlineStr">
        <is>
          <t>NFL</t>
        </is>
      </c>
      <c r="B122" s="12" t="inlineStr">
        <is>
          <t>Seattle Seahawks</t>
        </is>
      </c>
      <c r="C122" s="12" t="inlineStr">
        <is>
          <t>NFL: Seattle Seahawks</t>
        </is>
      </c>
      <c r="D122" s="11">
        <f>IF(COUNTIF('Draft Board'!$B$3:$K$13,C122)&gt;0,"DRAFTED","")</f>
        <v/>
      </c>
    </row>
    <row r="123">
      <c r="A123" s="12" t="inlineStr">
        <is>
          <t>NFL</t>
        </is>
      </c>
      <c r="B123" s="12" t="inlineStr">
        <is>
          <t>Tampa Bay Buccaneers</t>
        </is>
      </c>
      <c r="C123" s="12" t="inlineStr">
        <is>
          <t>NFL: Tampa Bay Buccaneers</t>
        </is>
      </c>
      <c r="D123" s="11">
        <f>IF(COUNTIF('Draft Board'!$B$3:$K$13,C123)&gt;0,"DRAFTED","")</f>
        <v/>
      </c>
    </row>
    <row r="124">
      <c r="A124" s="12" t="inlineStr">
        <is>
          <t>NFL</t>
        </is>
      </c>
      <c r="B124" s="12" t="inlineStr">
        <is>
          <t>Tennessee Titans</t>
        </is>
      </c>
      <c r="C124" s="12" t="inlineStr">
        <is>
          <t>NFL: Tennessee Titans</t>
        </is>
      </c>
      <c r="D124" s="11">
        <f>IF(COUNTIF('Draft Board'!$B$3:$K$13,C124)&gt;0,"DRAFTED","")</f>
        <v/>
      </c>
    </row>
    <row r="125">
      <c r="A125" s="12" t="inlineStr">
        <is>
          <t>NFL</t>
        </is>
      </c>
      <c r="B125" s="12" t="inlineStr">
        <is>
          <t>Washington Commanders</t>
        </is>
      </c>
      <c r="C125" s="12" t="inlineStr">
        <is>
          <t>NFL: Washington Commanders</t>
        </is>
      </c>
      <c r="D125" s="11">
        <f>IF(COUNTIF('Draft Board'!$B$3:$K$13,C125)&gt;0,"DRAFTED","")</f>
        <v/>
      </c>
    </row>
    <row r="126">
      <c r="A126" s="12" t="inlineStr">
        <is>
          <t>NCAAF</t>
        </is>
      </c>
      <c r="B126" s="12" t="inlineStr">
        <is>
          <t>Air Force</t>
        </is>
      </c>
      <c r="C126" s="12" t="inlineStr">
        <is>
          <t>NCAAF: Air Force</t>
        </is>
      </c>
      <c r="D126" s="11">
        <f>IF(COUNTIF('Draft Board'!$B$3:$K$13,C126)&gt;0,"DRAFTED","")</f>
        <v/>
      </c>
    </row>
    <row r="127">
      <c r="A127" s="12" t="inlineStr">
        <is>
          <t>NCAAF</t>
        </is>
      </c>
      <c r="B127" s="12" t="inlineStr">
        <is>
          <t>Akron</t>
        </is>
      </c>
      <c r="C127" s="12" t="inlineStr">
        <is>
          <t>NCAAF: Akron</t>
        </is>
      </c>
      <c r="D127" s="11">
        <f>IF(COUNTIF('Draft Board'!$B$3:$K$13,C127)&gt;0,"DRAFTED","")</f>
        <v/>
      </c>
    </row>
    <row r="128">
      <c r="A128" s="12" t="inlineStr">
        <is>
          <t>NCAAF</t>
        </is>
      </c>
      <c r="B128" s="12" t="inlineStr">
        <is>
          <t>Alabama</t>
        </is>
      </c>
      <c r="C128" s="12" t="inlineStr">
        <is>
          <t>NCAAF: Alabama</t>
        </is>
      </c>
      <c r="D128" s="11">
        <f>IF(COUNTIF('Draft Board'!$B$3:$K$13,C128)&gt;0,"DRAFTED","")</f>
        <v/>
      </c>
    </row>
    <row r="129">
      <c r="A129" s="12" t="inlineStr">
        <is>
          <t>NCAAF</t>
        </is>
      </c>
      <c r="B129" s="12" t="inlineStr">
        <is>
          <t>Appalachian State</t>
        </is>
      </c>
      <c r="C129" s="12" t="inlineStr">
        <is>
          <t>NCAAF: Appalachian State</t>
        </is>
      </c>
      <c r="D129" s="11">
        <f>IF(COUNTIF('Draft Board'!$B$3:$K$13,C129)&gt;0,"DRAFTED","")</f>
        <v/>
      </c>
    </row>
    <row r="130">
      <c r="A130" s="12" t="inlineStr">
        <is>
          <t>NCAAF</t>
        </is>
      </c>
      <c r="B130" s="12" t="inlineStr">
        <is>
          <t>Arizona</t>
        </is>
      </c>
      <c r="C130" s="12" t="inlineStr">
        <is>
          <t>NCAAF: Arizona</t>
        </is>
      </c>
      <c r="D130" s="11">
        <f>IF(COUNTIF('Draft Board'!$B$3:$K$13,C130)&gt;0,"DRAFTED","")</f>
        <v/>
      </c>
    </row>
    <row r="131">
      <c r="A131" s="12" t="inlineStr">
        <is>
          <t>NCAAF</t>
        </is>
      </c>
      <c r="B131" s="12" t="inlineStr">
        <is>
          <t>Arizona State</t>
        </is>
      </c>
      <c r="C131" s="12" t="inlineStr">
        <is>
          <t>NCAAF: Arizona State</t>
        </is>
      </c>
      <c r="D131" s="11">
        <f>IF(COUNTIF('Draft Board'!$B$3:$K$13,C131)&gt;0,"DRAFTED","")</f>
        <v/>
      </c>
    </row>
    <row r="132">
      <c r="A132" s="12" t="inlineStr">
        <is>
          <t>NCAAF</t>
        </is>
      </c>
      <c r="B132" s="12" t="inlineStr">
        <is>
          <t>Arkansas</t>
        </is>
      </c>
      <c r="C132" s="12" t="inlineStr">
        <is>
          <t>NCAAF: Arkansas</t>
        </is>
      </c>
      <c r="D132" s="11">
        <f>IF(COUNTIF('Draft Board'!$B$3:$K$13,C132)&gt;0,"DRAFTED","")</f>
        <v/>
      </c>
    </row>
    <row r="133">
      <c r="A133" s="12" t="inlineStr">
        <is>
          <t>NCAAF</t>
        </is>
      </c>
      <c r="B133" s="12" t="inlineStr">
        <is>
          <t>Arkansas State</t>
        </is>
      </c>
      <c r="C133" s="12" t="inlineStr">
        <is>
          <t>NCAAF: Arkansas State</t>
        </is>
      </c>
      <c r="D133" s="11">
        <f>IF(COUNTIF('Draft Board'!$B$3:$K$13,C133)&gt;0,"DRAFTED","")</f>
        <v/>
      </c>
    </row>
    <row r="134">
      <c r="A134" s="12" t="inlineStr">
        <is>
          <t>NCAAF</t>
        </is>
      </c>
      <c r="B134" s="12" t="inlineStr">
        <is>
          <t>Army</t>
        </is>
      </c>
      <c r="C134" s="12" t="inlineStr">
        <is>
          <t>NCAAF: Army</t>
        </is>
      </c>
      <c r="D134" s="11">
        <f>IF(COUNTIF('Draft Board'!$B$3:$K$13,C134)&gt;0,"DRAFTED","")</f>
        <v/>
      </c>
    </row>
    <row r="135">
      <c r="A135" s="12" t="inlineStr">
        <is>
          <t>NCAAF</t>
        </is>
      </c>
      <c r="B135" s="12" t="inlineStr">
        <is>
          <t>Auburn</t>
        </is>
      </c>
      <c r="C135" s="12" t="inlineStr">
        <is>
          <t>NCAAF: Auburn</t>
        </is>
      </c>
      <c r="D135" s="11">
        <f>IF(COUNTIF('Draft Board'!$B$3:$K$13,C135)&gt;0,"DRAFTED","")</f>
        <v/>
      </c>
    </row>
    <row r="136">
      <c r="A136" s="12" t="inlineStr">
        <is>
          <t>NCAAF</t>
        </is>
      </c>
      <c r="B136" s="12" t="inlineStr">
        <is>
          <t>Ball State</t>
        </is>
      </c>
      <c r="C136" s="12" t="inlineStr">
        <is>
          <t>NCAAF: Ball State</t>
        </is>
      </c>
      <c r="D136" s="11">
        <f>IF(COUNTIF('Draft Board'!$B$3:$K$13,C136)&gt;0,"DRAFTED","")</f>
        <v/>
      </c>
    </row>
    <row r="137">
      <c r="A137" s="12" t="inlineStr">
        <is>
          <t>NCAAF</t>
        </is>
      </c>
      <c r="B137" s="12" t="inlineStr">
        <is>
          <t>Baylor</t>
        </is>
      </c>
      <c r="C137" s="12" t="inlineStr">
        <is>
          <t>NCAAF: Baylor</t>
        </is>
      </c>
      <c r="D137" s="11">
        <f>IF(COUNTIF('Draft Board'!$B$3:$K$13,C137)&gt;0,"DRAFTED","")</f>
        <v/>
      </c>
    </row>
    <row r="138">
      <c r="A138" s="12" t="inlineStr">
        <is>
          <t>NCAAF</t>
        </is>
      </c>
      <c r="B138" s="12" t="inlineStr">
        <is>
          <t>Boise State</t>
        </is>
      </c>
      <c r="C138" s="12" t="inlineStr">
        <is>
          <t>NCAAF: Boise State</t>
        </is>
      </c>
      <c r="D138" s="11">
        <f>IF(COUNTIF('Draft Board'!$B$3:$K$13,C138)&gt;0,"DRAFTED","")</f>
        <v/>
      </c>
    </row>
    <row r="139">
      <c r="A139" s="12" t="inlineStr">
        <is>
          <t>NCAAF</t>
        </is>
      </c>
      <c r="B139" s="12" t="inlineStr">
        <is>
          <t>Boston College</t>
        </is>
      </c>
      <c r="C139" s="12" t="inlineStr">
        <is>
          <t>NCAAF: Boston College</t>
        </is>
      </c>
      <c r="D139" s="11">
        <f>IF(COUNTIF('Draft Board'!$B$3:$K$13,C139)&gt;0,"DRAFTED","")</f>
        <v/>
      </c>
    </row>
    <row r="140">
      <c r="A140" s="12" t="inlineStr">
        <is>
          <t>NCAAF</t>
        </is>
      </c>
      <c r="B140" s="12" t="inlineStr">
        <is>
          <t>Bowling Green</t>
        </is>
      </c>
      <c r="C140" s="12" t="inlineStr">
        <is>
          <t>NCAAF: Bowling Green</t>
        </is>
      </c>
      <c r="D140" s="11">
        <f>IF(COUNTIF('Draft Board'!$B$3:$K$13,C140)&gt;0,"DRAFTED","")</f>
        <v/>
      </c>
    </row>
    <row r="141">
      <c r="A141" s="12" t="inlineStr">
        <is>
          <t>NCAAF</t>
        </is>
      </c>
      <c r="B141" s="12" t="inlineStr">
        <is>
          <t>Buffalo</t>
        </is>
      </c>
      <c r="C141" s="12" t="inlineStr">
        <is>
          <t>NCAAF: Buffalo</t>
        </is>
      </c>
      <c r="D141" s="11">
        <f>IF(COUNTIF('Draft Board'!$B$3:$K$13,C141)&gt;0,"DRAFTED","")</f>
        <v/>
      </c>
    </row>
    <row r="142">
      <c r="A142" s="12" t="inlineStr">
        <is>
          <t>NCAAF</t>
        </is>
      </c>
      <c r="B142" s="12" t="inlineStr">
        <is>
          <t>BYU</t>
        </is>
      </c>
      <c r="C142" s="12" t="inlineStr">
        <is>
          <t>NCAAF: BYU</t>
        </is>
      </c>
      <c r="D142" s="11">
        <f>IF(COUNTIF('Draft Board'!$B$3:$K$13,C142)&gt;0,"DRAFTED","")</f>
        <v/>
      </c>
    </row>
    <row r="143">
      <c r="A143" s="12" t="inlineStr">
        <is>
          <t>NCAAF</t>
        </is>
      </c>
      <c r="B143" s="12" t="inlineStr">
        <is>
          <t>California</t>
        </is>
      </c>
      <c r="C143" s="12" t="inlineStr">
        <is>
          <t>NCAAF: California</t>
        </is>
      </c>
      <c r="D143" s="11">
        <f>IF(COUNTIF('Draft Board'!$B$3:$K$13,C143)&gt;0,"DRAFTED","")</f>
        <v/>
      </c>
    </row>
    <row r="144">
      <c r="A144" s="12" t="inlineStr">
        <is>
          <t>NCAAF</t>
        </is>
      </c>
      <c r="B144" s="12" t="inlineStr">
        <is>
          <t>Central Michigan</t>
        </is>
      </c>
      <c r="C144" s="12" t="inlineStr">
        <is>
          <t>NCAAF: Central Michigan</t>
        </is>
      </c>
      <c r="D144" s="11">
        <f>IF(COUNTIF('Draft Board'!$B$3:$K$13,C144)&gt;0,"DRAFTED","")</f>
        <v/>
      </c>
    </row>
    <row r="145">
      <c r="A145" s="12" t="inlineStr">
        <is>
          <t>NCAAF</t>
        </is>
      </c>
      <c r="B145" s="12" t="inlineStr">
        <is>
          <t>Charlotte</t>
        </is>
      </c>
      <c r="C145" s="12" t="inlineStr">
        <is>
          <t>NCAAF: Charlotte</t>
        </is>
      </c>
      <c r="D145" s="11">
        <f>IF(COUNTIF('Draft Board'!$B$3:$K$13,C145)&gt;0,"DRAFTED","")</f>
        <v/>
      </c>
    </row>
    <row r="146">
      <c r="A146" s="12" t="inlineStr">
        <is>
          <t>NCAAF</t>
        </is>
      </c>
      <c r="B146" s="12" t="inlineStr">
        <is>
          <t>Cincinnati</t>
        </is>
      </c>
      <c r="C146" s="12" t="inlineStr">
        <is>
          <t>NCAAF: Cincinnati</t>
        </is>
      </c>
      <c r="D146" s="11">
        <f>IF(COUNTIF('Draft Board'!$B$3:$K$13,C146)&gt;0,"DRAFTED","")</f>
        <v/>
      </c>
    </row>
    <row r="147">
      <c r="A147" s="12" t="inlineStr">
        <is>
          <t>NCAAF</t>
        </is>
      </c>
      <c r="B147" s="12" t="inlineStr">
        <is>
          <t>Clemson</t>
        </is>
      </c>
      <c r="C147" s="12" t="inlineStr">
        <is>
          <t>NCAAF: Clemson</t>
        </is>
      </c>
      <c r="D147" s="11">
        <f>IF(COUNTIF('Draft Board'!$B$3:$K$13,C147)&gt;0,"DRAFTED","")</f>
        <v/>
      </c>
    </row>
    <row r="148">
      <c r="A148" s="12" t="inlineStr">
        <is>
          <t>NCAAF</t>
        </is>
      </c>
      <c r="B148" s="12" t="inlineStr">
        <is>
          <t>Coastal Carolina</t>
        </is>
      </c>
      <c r="C148" s="12" t="inlineStr">
        <is>
          <t>NCAAF: Coastal Carolina</t>
        </is>
      </c>
      <c r="D148" s="11">
        <f>IF(COUNTIF('Draft Board'!$B$3:$K$13,C148)&gt;0,"DRAFTED","")</f>
        <v/>
      </c>
    </row>
    <row r="149">
      <c r="A149" s="12" t="inlineStr">
        <is>
          <t>NCAAF</t>
        </is>
      </c>
      <c r="B149" s="12" t="inlineStr">
        <is>
          <t>Colorado</t>
        </is>
      </c>
      <c r="C149" s="12" t="inlineStr">
        <is>
          <t>NCAAF: Colorado</t>
        </is>
      </c>
      <c r="D149" s="11">
        <f>IF(COUNTIF('Draft Board'!$B$3:$K$13,C149)&gt;0,"DRAFTED","")</f>
        <v/>
      </c>
    </row>
    <row r="150">
      <c r="A150" s="12" t="inlineStr">
        <is>
          <t>NCAAF</t>
        </is>
      </c>
      <c r="B150" s="12" t="inlineStr">
        <is>
          <t>Colorado State</t>
        </is>
      </c>
      <c r="C150" s="12" t="inlineStr">
        <is>
          <t>NCAAF: Colorado State</t>
        </is>
      </c>
      <c r="D150" s="11">
        <f>IF(COUNTIF('Draft Board'!$B$3:$K$13,C150)&gt;0,"DRAFTED","")</f>
        <v/>
      </c>
    </row>
    <row r="151">
      <c r="A151" s="12" t="inlineStr">
        <is>
          <t>NCAAF</t>
        </is>
      </c>
      <c r="B151" s="12" t="inlineStr">
        <is>
          <t>Delaware</t>
        </is>
      </c>
      <c r="C151" s="12" t="inlineStr">
        <is>
          <t>NCAAF: Delaware</t>
        </is>
      </c>
      <c r="D151" s="11">
        <f>IF(COUNTIF('Draft Board'!$B$3:$K$13,C151)&gt;0,"DRAFTED","")</f>
        <v/>
      </c>
    </row>
    <row r="152">
      <c r="A152" s="12" t="inlineStr">
        <is>
          <t>NCAAF</t>
        </is>
      </c>
      <c r="B152" s="12" t="inlineStr">
        <is>
          <t>Duke</t>
        </is>
      </c>
      <c r="C152" s="12" t="inlineStr">
        <is>
          <t>NCAAF: Duke</t>
        </is>
      </c>
      <c r="D152" s="11">
        <f>IF(COUNTIF('Draft Board'!$B$3:$K$13,C152)&gt;0,"DRAFTED","")</f>
        <v/>
      </c>
    </row>
    <row r="153">
      <c r="A153" s="12" t="inlineStr">
        <is>
          <t>NCAAF</t>
        </is>
      </c>
      <c r="B153" s="12" t="inlineStr">
        <is>
          <t>East Carolina</t>
        </is>
      </c>
      <c r="C153" s="12" t="inlineStr">
        <is>
          <t>NCAAF: East Carolina</t>
        </is>
      </c>
      <c r="D153" s="11">
        <f>IF(COUNTIF('Draft Board'!$B$3:$K$13,C153)&gt;0,"DRAFTED","")</f>
        <v/>
      </c>
    </row>
    <row r="154">
      <c r="A154" s="12" t="inlineStr">
        <is>
          <t>NCAAF</t>
        </is>
      </c>
      <c r="B154" s="12" t="inlineStr">
        <is>
          <t>Eastern Michigan</t>
        </is>
      </c>
      <c r="C154" s="12" t="inlineStr">
        <is>
          <t>NCAAF: Eastern Michigan</t>
        </is>
      </c>
      <c r="D154" s="11">
        <f>IF(COUNTIF('Draft Board'!$B$3:$K$13,C154)&gt;0,"DRAFTED","")</f>
        <v/>
      </c>
    </row>
    <row r="155">
      <c r="A155" s="12" t="inlineStr">
        <is>
          <t>NCAAF</t>
        </is>
      </c>
      <c r="B155" s="12" t="inlineStr">
        <is>
          <t>FIU</t>
        </is>
      </c>
      <c r="C155" s="12" t="inlineStr">
        <is>
          <t>NCAAF: FIU</t>
        </is>
      </c>
      <c r="D155" s="11">
        <f>IF(COUNTIF('Draft Board'!$B$3:$K$13,C155)&gt;0,"DRAFTED","")</f>
        <v/>
      </c>
    </row>
    <row r="156">
      <c r="A156" s="12" t="inlineStr">
        <is>
          <t>NCAAF</t>
        </is>
      </c>
      <c r="B156" s="12" t="inlineStr">
        <is>
          <t>Florida</t>
        </is>
      </c>
      <c r="C156" s="12" t="inlineStr">
        <is>
          <t>NCAAF: Florida</t>
        </is>
      </c>
      <c r="D156" s="11">
        <f>IF(COUNTIF('Draft Board'!$B$3:$K$13,C156)&gt;0,"DRAFTED","")</f>
        <v/>
      </c>
    </row>
    <row r="157">
      <c r="A157" s="12" t="inlineStr">
        <is>
          <t>NCAAF</t>
        </is>
      </c>
      <c r="B157" s="12" t="inlineStr">
        <is>
          <t>Florida Atlantic</t>
        </is>
      </c>
      <c r="C157" s="12" t="inlineStr">
        <is>
          <t>NCAAF: Florida Atlantic</t>
        </is>
      </c>
      <c r="D157" s="11">
        <f>IF(COUNTIF('Draft Board'!$B$3:$K$13,C157)&gt;0,"DRAFTED","")</f>
        <v/>
      </c>
    </row>
    <row r="158">
      <c r="A158" s="12" t="inlineStr">
        <is>
          <t>NCAAF</t>
        </is>
      </c>
      <c r="B158" s="12" t="inlineStr">
        <is>
          <t>Florida State</t>
        </is>
      </c>
      <c r="C158" s="12" t="inlineStr">
        <is>
          <t>NCAAF: Florida State</t>
        </is>
      </c>
      <c r="D158" s="11">
        <f>IF(COUNTIF('Draft Board'!$B$3:$K$13,C158)&gt;0,"DRAFTED","")</f>
        <v/>
      </c>
    </row>
    <row r="159">
      <c r="A159" s="12" t="inlineStr">
        <is>
          <t>NCAAF</t>
        </is>
      </c>
      <c r="B159" s="12" t="inlineStr">
        <is>
          <t>Fresno State</t>
        </is>
      </c>
      <c r="C159" s="12" t="inlineStr">
        <is>
          <t>NCAAF: Fresno State</t>
        </is>
      </c>
      <c r="D159" s="11">
        <f>IF(COUNTIF('Draft Board'!$B$3:$K$13,C159)&gt;0,"DRAFTED","")</f>
        <v/>
      </c>
    </row>
    <row r="160">
      <c r="A160" s="12" t="inlineStr">
        <is>
          <t>NCAAF</t>
        </is>
      </c>
      <c r="B160" s="12" t="inlineStr">
        <is>
          <t>Georgia</t>
        </is>
      </c>
      <c r="C160" s="12" t="inlineStr">
        <is>
          <t>NCAAF: Georgia</t>
        </is>
      </c>
      <c r="D160" s="11">
        <f>IF(COUNTIF('Draft Board'!$B$3:$K$13,C160)&gt;0,"DRAFTED","")</f>
        <v/>
      </c>
    </row>
    <row r="161">
      <c r="A161" s="12" t="inlineStr">
        <is>
          <t>NCAAF</t>
        </is>
      </c>
      <c r="B161" s="12" t="inlineStr">
        <is>
          <t>Georgia Southern</t>
        </is>
      </c>
      <c r="C161" s="12" t="inlineStr">
        <is>
          <t>NCAAF: Georgia Southern</t>
        </is>
      </c>
      <c r="D161" s="11">
        <f>IF(COUNTIF('Draft Board'!$B$3:$K$13,C161)&gt;0,"DRAFTED","")</f>
        <v/>
      </c>
    </row>
    <row r="162">
      <c r="A162" s="12" t="inlineStr">
        <is>
          <t>NCAAF</t>
        </is>
      </c>
      <c r="B162" s="12" t="inlineStr">
        <is>
          <t>Georgia State</t>
        </is>
      </c>
      <c r="C162" s="12" t="inlineStr">
        <is>
          <t>NCAAF: Georgia State</t>
        </is>
      </c>
      <c r="D162" s="11">
        <f>IF(COUNTIF('Draft Board'!$B$3:$K$13,C162)&gt;0,"DRAFTED","")</f>
        <v/>
      </c>
    </row>
    <row r="163">
      <c r="A163" s="12" t="inlineStr">
        <is>
          <t>NCAAF</t>
        </is>
      </c>
      <c r="B163" s="12" t="inlineStr">
        <is>
          <t>Georgia Tech</t>
        </is>
      </c>
      <c r="C163" s="12" t="inlineStr">
        <is>
          <t>NCAAF: Georgia Tech</t>
        </is>
      </c>
      <c r="D163" s="11">
        <f>IF(COUNTIF('Draft Board'!$B$3:$K$13,C163)&gt;0,"DRAFTED","")</f>
        <v/>
      </c>
    </row>
    <row r="164">
      <c r="A164" s="12" t="inlineStr">
        <is>
          <t>NCAAF</t>
        </is>
      </c>
      <c r="B164" s="12" t="inlineStr">
        <is>
          <t>Hawaii</t>
        </is>
      </c>
      <c r="C164" s="12" t="inlineStr">
        <is>
          <t>NCAAF: Hawaii</t>
        </is>
      </c>
      <c r="D164" s="11">
        <f>IF(COUNTIF('Draft Board'!$B$3:$K$13,C164)&gt;0,"DRAFTED","")</f>
        <v/>
      </c>
    </row>
    <row r="165">
      <c r="A165" s="12" t="inlineStr">
        <is>
          <t>NCAAF</t>
        </is>
      </c>
      <c r="B165" s="12" t="inlineStr">
        <is>
          <t>Houston</t>
        </is>
      </c>
      <c r="C165" s="12" t="inlineStr">
        <is>
          <t>NCAAF: Houston</t>
        </is>
      </c>
      <c r="D165" s="11">
        <f>IF(COUNTIF('Draft Board'!$B$3:$K$13,C165)&gt;0,"DRAFTED","")</f>
        <v/>
      </c>
    </row>
    <row r="166">
      <c r="A166" s="12" t="inlineStr">
        <is>
          <t>NCAAF</t>
        </is>
      </c>
      <c r="B166" s="12" t="inlineStr">
        <is>
          <t>Illinois</t>
        </is>
      </c>
      <c r="C166" s="12" t="inlineStr">
        <is>
          <t>NCAAF: Illinois</t>
        </is>
      </c>
      <c r="D166" s="11">
        <f>IF(COUNTIF('Draft Board'!$B$3:$K$13,C166)&gt;0,"DRAFTED","")</f>
        <v/>
      </c>
    </row>
    <row r="167">
      <c r="A167" s="12" t="inlineStr">
        <is>
          <t>NCAAF</t>
        </is>
      </c>
      <c r="B167" s="12" t="inlineStr">
        <is>
          <t>Indiana</t>
        </is>
      </c>
      <c r="C167" s="12" t="inlineStr">
        <is>
          <t>NCAAF: Indiana</t>
        </is>
      </c>
      <c r="D167" s="11">
        <f>IF(COUNTIF('Draft Board'!$B$3:$K$13,C167)&gt;0,"DRAFTED","")</f>
        <v/>
      </c>
    </row>
    <row r="168">
      <c r="A168" s="12" t="inlineStr">
        <is>
          <t>NCAAF</t>
        </is>
      </c>
      <c r="B168" s="12" t="inlineStr">
        <is>
          <t>Iowa</t>
        </is>
      </c>
      <c r="C168" s="12" t="inlineStr">
        <is>
          <t>NCAAF: Iowa</t>
        </is>
      </c>
      <c r="D168" s="11">
        <f>IF(COUNTIF('Draft Board'!$B$3:$K$13,C168)&gt;0,"DRAFTED","")</f>
        <v/>
      </c>
    </row>
    <row r="169">
      <c r="A169" s="12" t="inlineStr">
        <is>
          <t>NCAAF</t>
        </is>
      </c>
      <c r="B169" s="12" t="inlineStr">
        <is>
          <t>Iowa State</t>
        </is>
      </c>
      <c r="C169" s="12" t="inlineStr">
        <is>
          <t>NCAAF: Iowa State</t>
        </is>
      </c>
      <c r="D169" s="11">
        <f>IF(COUNTIF('Draft Board'!$B$3:$K$13,C169)&gt;0,"DRAFTED","")</f>
        <v/>
      </c>
    </row>
    <row r="170">
      <c r="A170" s="12" t="inlineStr">
        <is>
          <t>NCAAF</t>
        </is>
      </c>
      <c r="B170" s="12" t="inlineStr">
        <is>
          <t>Jacksonville State</t>
        </is>
      </c>
      <c r="C170" s="12" t="inlineStr">
        <is>
          <t>NCAAF: Jacksonville State</t>
        </is>
      </c>
      <c r="D170" s="11">
        <f>IF(COUNTIF('Draft Board'!$B$3:$K$13,C170)&gt;0,"DRAFTED","")</f>
        <v/>
      </c>
    </row>
    <row r="171">
      <c r="A171" s="12" t="inlineStr">
        <is>
          <t>NCAAF</t>
        </is>
      </c>
      <c r="B171" s="12" t="inlineStr">
        <is>
          <t>James Madison</t>
        </is>
      </c>
      <c r="C171" s="12" t="inlineStr">
        <is>
          <t>NCAAF: James Madison</t>
        </is>
      </c>
      <c r="D171" s="11">
        <f>IF(COUNTIF('Draft Board'!$B$3:$K$13,C171)&gt;0,"DRAFTED","")</f>
        <v/>
      </c>
    </row>
    <row r="172">
      <c r="A172" s="12" t="inlineStr">
        <is>
          <t>NCAAF</t>
        </is>
      </c>
      <c r="B172" s="12" t="inlineStr">
        <is>
          <t>Kansas</t>
        </is>
      </c>
      <c r="C172" s="12" t="inlineStr">
        <is>
          <t>NCAAF: Kansas</t>
        </is>
      </c>
      <c r="D172" s="11">
        <f>IF(COUNTIF('Draft Board'!$B$3:$K$13,C172)&gt;0,"DRAFTED","")</f>
        <v/>
      </c>
    </row>
    <row r="173">
      <c r="A173" s="12" t="inlineStr">
        <is>
          <t>NCAAF</t>
        </is>
      </c>
      <c r="B173" s="12" t="inlineStr">
        <is>
          <t>Kansas State</t>
        </is>
      </c>
      <c r="C173" s="12" t="inlineStr">
        <is>
          <t>NCAAF: Kansas State</t>
        </is>
      </c>
      <c r="D173" s="11">
        <f>IF(COUNTIF('Draft Board'!$B$3:$K$13,C173)&gt;0,"DRAFTED","")</f>
        <v/>
      </c>
    </row>
    <row r="174">
      <c r="A174" s="12" t="inlineStr">
        <is>
          <t>NCAAF</t>
        </is>
      </c>
      <c r="B174" s="12" t="inlineStr">
        <is>
          <t>Kennesaw State</t>
        </is>
      </c>
      <c r="C174" s="12" t="inlineStr">
        <is>
          <t>NCAAF: Kennesaw State</t>
        </is>
      </c>
      <c r="D174" s="11">
        <f>IF(COUNTIF('Draft Board'!$B$3:$K$13,C174)&gt;0,"DRAFTED","")</f>
        <v/>
      </c>
    </row>
    <row r="175">
      <c r="A175" s="12" t="inlineStr">
        <is>
          <t>NCAAF</t>
        </is>
      </c>
      <c r="B175" s="12" t="inlineStr">
        <is>
          <t>Kent State</t>
        </is>
      </c>
      <c r="C175" s="12" t="inlineStr">
        <is>
          <t>NCAAF: Kent State</t>
        </is>
      </c>
      <c r="D175" s="11">
        <f>IF(COUNTIF('Draft Board'!$B$3:$K$13,C175)&gt;0,"DRAFTED","")</f>
        <v/>
      </c>
    </row>
    <row r="176">
      <c r="A176" s="12" t="inlineStr">
        <is>
          <t>NCAAF</t>
        </is>
      </c>
      <c r="B176" s="12" t="inlineStr">
        <is>
          <t>Kentucky</t>
        </is>
      </c>
      <c r="C176" s="12" t="inlineStr">
        <is>
          <t>NCAAF: Kentucky</t>
        </is>
      </c>
      <c r="D176" s="11">
        <f>IF(COUNTIF('Draft Board'!$B$3:$K$13,C176)&gt;0,"DRAFTED","")</f>
        <v/>
      </c>
    </row>
    <row r="177">
      <c r="A177" s="12" t="inlineStr">
        <is>
          <t>NCAAF</t>
        </is>
      </c>
      <c r="B177" s="12" t="inlineStr">
        <is>
          <t>Liberty</t>
        </is>
      </c>
      <c r="C177" s="12" t="inlineStr">
        <is>
          <t>NCAAF: Liberty</t>
        </is>
      </c>
      <c r="D177" s="11">
        <f>IF(COUNTIF('Draft Board'!$B$3:$K$13,C177)&gt;0,"DRAFTED","")</f>
        <v/>
      </c>
    </row>
    <row r="178">
      <c r="A178" s="12" t="inlineStr">
        <is>
          <t>NCAAF</t>
        </is>
      </c>
      <c r="B178" s="12" t="inlineStr">
        <is>
          <t>Louisiana</t>
        </is>
      </c>
      <c r="C178" s="12" t="inlineStr">
        <is>
          <t>NCAAF: Louisiana</t>
        </is>
      </c>
      <c r="D178" s="11">
        <f>IF(COUNTIF('Draft Board'!$B$3:$K$13,C178)&gt;0,"DRAFTED","")</f>
        <v/>
      </c>
    </row>
    <row r="179">
      <c r="A179" s="12" t="inlineStr">
        <is>
          <t>NCAAF</t>
        </is>
      </c>
      <c r="B179" s="12" t="inlineStr">
        <is>
          <t>Louisiana Tech</t>
        </is>
      </c>
      <c r="C179" s="12" t="inlineStr">
        <is>
          <t>NCAAF: Louisiana Tech</t>
        </is>
      </c>
      <c r="D179" s="11">
        <f>IF(COUNTIF('Draft Board'!$B$3:$K$13,C179)&gt;0,"DRAFTED","")</f>
        <v/>
      </c>
    </row>
    <row r="180">
      <c r="A180" s="12" t="inlineStr">
        <is>
          <t>NCAAF</t>
        </is>
      </c>
      <c r="B180" s="12" t="inlineStr">
        <is>
          <t>Louisville</t>
        </is>
      </c>
      <c r="C180" s="12" t="inlineStr">
        <is>
          <t>NCAAF: Louisville</t>
        </is>
      </c>
      <c r="D180" s="11">
        <f>IF(COUNTIF('Draft Board'!$B$3:$K$13,C180)&gt;0,"DRAFTED","")</f>
        <v/>
      </c>
    </row>
    <row r="181">
      <c r="A181" s="12" t="inlineStr">
        <is>
          <t>NCAAF</t>
        </is>
      </c>
      <c r="B181" s="12" t="inlineStr">
        <is>
          <t>LSU</t>
        </is>
      </c>
      <c r="C181" s="12" t="inlineStr">
        <is>
          <t>NCAAF: LSU</t>
        </is>
      </c>
      <c r="D181" s="11">
        <f>IF(COUNTIF('Draft Board'!$B$3:$K$13,C181)&gt;0,"DRAFTED","")</f>
        <v/>
      </c>
    </row>
    <row r="182">
      <c r="A182" s="12" t="inlineStr">
        <is>
          <t>NCAAF</t>
        </is>
      </c>
      <c r="B182" s="12" t="inlineStr">
        <is>
          <t>Marshall</t>
        </is>
      </c>
      <c r="C182" s="12" t="inlineStr">
        <is>
          <t>NCAAF: Marshall</t>
        </is>
      </c>
      <c r="D182" s="11">
        <f>IF(COUNTIF('Draft Board'!$B$3:$K$13,C182)&gt;0,"DRAFTED","")</f>
        <v/>
      </c>
    </row>
    <row r="183">
      <c r="A183" s="12" t="inlineStr">
        <is>
          <t>NCAAF</t>
        </is>
      </c>
      <c r="B183" s="12" t="inlineStr">
        <is>
          <t>Maryland</t>
        </is>
      </c>
      <c r="C183" s="12" t="inlineStr">
        <is>
          <t>NCAAF: Maryland</t>
        </is>
      </c>
      <c r="D183" s="11">
        <f>IF(COUNTIF('Draft Board'!$B$3:$K$13,C183)&gt;0,"DRAFTED","")</f>
        <v/>
      </c>
    </row>
    <row r="184">
      <c r="A184" s="12" t="inlineStr">
        <is>
          <t>NCAAF</t>
        </is>
      </c>
      <c r="B184" s="12" t="inlineStr">
        <is>
          <t>Memphis</t>
        </is>
      </c>
      <c r="C184" s="12" t="inlineStr">
        <is>
          <t>NCAAF: Memphis</t>
        </is>
      </c>
      <c r="D184" s="11">
        <f>IF(COUNTIF('Draft Board'!$B$3:$K$13,C184)&gt;0,"DRAFTED","")</f>
        <v/>
      </c>
    </row>
    <row r="185">
      <c r="A185" s="12" t="inlineStr">
        <is>
          <t>NCAAF</t>
        </is>
      </c>
      <c r="B185" s="12" t="inlineStr">
        <is>
          <t>Miami (FL)</t>
        </is>
      </c>
      <c r="C185" s="12" t="inlineStr">
        <is>
          <t>NCAAF: Miami (FL)</t>
        </is>
      </c>
      <c r="D185" s="11">
        <f>IF(COUNTIF('Draft Board'!$B$3:$K$13,C185)&gt;0,"DRAFTED","")</f>
        <v/>
      </c>
    </row>
    <row r="186">
      <c r="A186" s="12" t="inlineStr">
        <is>
          <t>NCAAF</t>
        </is>
      </c>
      <c r="B186" s="12" t="inlineStr">
        <is>
          <t>Miami (OH)</t>
        </is>
      </c>
      <c r="C186" s="12" t="inlineStr">
        <is>
          <t>NCAAF: Miami (OH)</t>
        </is>
      </c>
      <c r="D186" s="11">
        <f>IF(COUNTIF('Draft Board'!$B$3:$K$13,C186)&gt;0,"DRAFTED","")</f>
        <v/>
      </c>
    </row>
    <row r="187">
      <c r="A187" s="12" t="inlineStr">
        <is>
          <t>NCAAF</t>
        </is>
      </c>
      <c r="B187" s="12" t="inlineStr">
        <is>
          <t>Michigan</t>
        </is>
      </c>
      <c r="C187" s="12" t="inlineStr">
        <is>
          <t>NCAAF: Michigan</t>
        </is>
      </c>
      <c r="D187" s="11">
        <f>IF(COUNTIF('Draft Board'!$B$3:$K$13,C187)&gt;0,"DRAFTED","")</f>
        <v/>
      </c>
    </row>
    <row r="188">
      <c r="A188" s="12" t="inlineStr">
        <is>
          <t>NCAAF</t>
        </is>
      </c>
      <c r="B188" s="12" t="inlineStr">
        <is>
          <t>Michigan State</t>
        </is>
      </c>
      <c r="C188" s="12" t="inlineStr">
        <is>
          <t>NCAAF: Michigan State</t>
        </is>
      </c>
      <c r="D188" s="11">
        <f>IF(COUNTIF('Draft Board'!$B$3:$K$13,C188)&gt;0,"DRAFTED","")</f>
        <v/>
      </c>
    </row>
    <row r="189">
      <c r="A189" s="12" t="inlineStr">
        <is>
          <t>NCAAF</t>
        </is>
      </c>
      <c r="B189" s="12" t="inlineStr">
        <is>
          <t>Middle Tennessee</t>
        </is>
      </c>
      <c r="C189" s="12" t="inlineStr">
        <is>
          <t>NCAAF: Middle Tennessee</t>
        </is>
      </c>
      <c r="D189" s="11">
        <f>IF(COUNTIF('Draft Board'!$B$3:$K$13,C189)&gt;0,"DRAFTED","")</f>
        <v/>
      </c>
    </row>
    <row r="190">
      <c r="A190" s="12" t="inlineStr">
        <is>
          <t>NCAAF</t>
        </is>
      </c>
      <c r="B190" s="12" t="inlineStr">
        <is>
          <t>Minnesota</t>
        </is>
      </c>
      <c r="C190" s="12" t="inlineStr">
        <is>
          <t>NCAAF: Minnesota</t>
        </is>
      </c>
      <c r="D190" s="11">
        <f>IF(COUNTIF('Draft Board'!$B$3:$K$13,C190)&gt;0,"DRAFTED","")</f>
        <v/>
      </c>
    </row>
    <row r="191">
      <c r="A191" s="12" t="inlineStr">
        <is>
          <t>NCAAF</t>
        </is>
      </c>
      <c r="B191" s="12" t="inlineStr">
        <is>
          <t>Mississippi State</t>
        </is>
      </c>
      <c r="C191" s="12" t="inlineStr">
        <is>
          <t>NCAAF: Mississippi State</t>
        </is>
      </c>
      <c r="D191" s="11">
        <f>IF(COUNTIF('Draft Board'!$B$3:$K$13,C191)&gt;0,"DRAFTED","")</f>
        <v/>
      </c>
    </row>
    <row r="192">
      <c r="A192" s="12" t="inlineStr">
        <is>
          <t>NCAAF</t>
        </is>
      </c>
      <c r="B192" s="12" t="inlineStr">
        <is>
          <t>Missouri</t>
        </is>
      </c>
      <c r="C192" s="12" t="inlineStr">
        <is>
          <t>NCAAF: Missouri</t>
        </is>
      </c>
      <c r="D192" s="11">
        <f>IF(COUNTIF('Draft Board'!$B$3:$K$13,C192)&gt;0,"DRAFTED","")</f>
        <v/>
      </c>
    </row>
    <row r="193">
      <c r="A193" s="12" t="inlineStr">
        <is>
          <t>NCAAF</t>
        </is>
      </c>
      <c r="B193" s="12" t="inlineStr">
        <is>
          <t>Missouri State</t>
        </is>
      </c>
      <c r="C193" s="12" t="inlineStr">
        <is>
          <t>NCAAF: Missouri State</t>
        </is>
      </c>
      <c r="D193" s="11">
        <f>IF(COUNTIF('Draft Board'!$B$3:$K$13,C193)&gt;0,"DRAFTED","")</f>
        <v/>
      </c>
    </row>
    <row r="194">
      <c r="A194" s="12" t="inlineStr">
        <is>
          <t>NCAAF</t>
        </is>
      </c>
      <c r="B194" s="12" t="inlineStr">
        <is>
          <t>Navy</t>
        </is>
      </c>
      <c r="C194" s="12" t="inlineStr">
        <is>
          <t>NCAAF: Navy</t>
        </is>
      </c>
      <c r="D194" s="11">
        <f>IF(COUNTIF('Draft Board'!$B$3:$K$13,C194)&gt;0,"DRAFTED","")</f>
        <v/>
      </c>
    </row>
    <row r="195">
      <c r="A195" s="12" t="inlineStr">
        <is>
          <t>NCAAF</t>
        </is>
      </c>
      <c r="B195" s="12" t="inlineStr">
        <is>
          <t>NC State</t>
        </is>
      </c>
      <c r="C195" s="12" t="inlineStr">
        <is>
          <t>NCAAF: NC State</t>
        </is>
      </c>
      <c r="D195" s="11">
        <f>IF(COUNTIF('Draft Board'!$B$3:$K$13,C195)&gt;0,"DRAFTED","")</f>
        <v/>
      </c>
    </row>
    <row r="196">
      <c r="A196" s="12" t="inlineStr">
        <is>
          <t>NCAAF</t>
        </is>
      </c>
      <c r="B196" s="12" t="inlineStr">
        <is>
          <t>Nebraska</t>
        </is>
      </c>
      <c r="C196" s="12" t="inlineStr">
        <is>
          <t>NCAAF: Nebraska</t>
        </is>
      </c>
      <c r="D196" s="11">
        <f>IF(COUNTIF('Draft Board'!$B$3:$K$13,C196)&gt;0,"DRAFTED","")</f>
        <v/>
      </c>
    </row>
    <row r="197">
      <c r="A197" s="12" t="inlineStr">
        <is>
          <t>NCAAF</t>
        </is>
      </c>
      <c r="B197" s="12" t="inlineStr">
        <is>
          <t>Nevada</t>
        </is>
      </c>
      <c r="C197" s="12" t="inlineStr">
        <is>
          <t>NCAAF: Nevada</t>
        </is>
      </c>
      <c r="D197" s="11">
        <f>IF(COUNTIF('Draft Board'!$B$3:$K$13,C197)&gt;0,"DRAFTED","")</f>
        <v/>
      </c>
    </row>
    <row r="198">
      <c r="A198" s="12" t="inlineStr">
        <is>
          <t>NCAAF</t>
        </is>
      </c>
      <c r="B198" s="12" t="inlineStr">
        <is>
          <t>New Mexico</t>
        </is>
      </c>
      <c r="C198" s="12" t="inlineStr">
        <is>
          <t>NCAAF: New Mexico</t>
        </is>
      </c>
      <c r="D198" s="11">
        <f>IF(COUNTIF('Draft Board'!$B$3:$K$13,C198)&gt;0,"DRAFTED","")</f>
        <v/>
      </c>
    </row>
    <row r="199">
      <c r="A199" s="12" t="inlineStr">
        <is>
          <t>NCAAF</t>
        </is>
      </c>
      <c r="B199" s="12" t="inlineStr">
        <is>
          <t>New Mexico State</t>
        </is>
      </c>
      <c r="C199" s="12" t="inlineStr">
        <is>
          <t>NCAAF: New Mexico State</t>
        </is>
      </c>
      <c r="D199" s="11">
        <f>IF(COUNTIF('Draft Board'!$B$3:$K$13,C199)&gt;0,"DRAFTED","")</f>
        <v/>
      </c>
    </row>
    <row r="200">
      <c r="A200" s="12" t="inlineStr">
        <is>
          <t>NCAAF</t>
        </is>
      </c>
      <c r="B200" s="12" t="inlineStr">
        <is>
          <t>North Carolina</t>
        </is>
      </c>
      <c r="C200" s="12" t="inlineStr">
        <is>
          <t>NCAAF: North Carolina</t>
        </is>
      </c>
      <c r="D200" s="11">
        <f>IF(COUNTIF('Draft Board'!$B$3:$K$13,C200)&gt;0,"DRAFTED","")</f>
        <v/>
      </c>
    </row>
    <row r="201">
      <c r="A201" s="12" t="inlineStr">
        <is>
          <t>NCAAF</t>
        </is>
      </c>
      <c r="B201" s="12" t="inlineStr">
        <is>
          <t>North Dakota State</t>
        </is>
      </c>
      <c r="C201" s="12" t="inlineStr">
        <is>
          <t>NCAAF: North Dakota State</t>
        </is>
      </c>
      <c r="D201" s="11">
        <f>IF(COUNTIF('Draft Board'!$B$3:$K$13,C201)&gt;0,"DRAFTED","")</f>
        <v/>
      </c>
    </row>
    <row r="202">
      <c r="A202" s="12" t="inlineStr">
        <is>
          <t>NCAAF</t>
        </is>
      </c>
      <c r="B202" s="12" t="inlineStr">
        <is>
          <t>North Texas</t>
        </is>
      </c>
      <c r="C202" s="12" t="inlineStr">
        <is>
          <t>NCAAF: North Texas</t>
        </is>
      </c>
      <c r="D202" s="11">
        <f>IF(COUNTIF('Draft Board'!$B$3:$K$13,C202)&gt;0,"DRAFTED","")</f>
        <v/>
      </c>
    </row>
    <row r="203">
      <c r="A203" s="12" t="inlineStr">
        <is>
          <t>NCAAF</t>
        </is>
      </c>
      <c r="B203" s="12" t="inlineStr">
        <is>
          <t>Northern Illinois</t>
        </is>
      </c>
      <c r="C203" s="12" t="inlineStr">
        <is>
          <t>NCAAF: Northern Illinois</t>
        </is>
      </c>
      <c r="D203" s="11">
        <f>IF(COUNTIF('Draft Board'!$B$3:$K$13,C203)&gt;0,"DRAFTED","")</f>
        <v/>
      </c>
    </row>
    <row r="204">
      <c r="A204" s="12" t="inlineStr">
        <is>
          <t>NCAAF</t>
        </is>
      </c>
      <c r="B204" s="12" t="inlineStr">
        <is>
          <t>Northwestern</t>
        </is>
      </c>
      <c r="C204" s="12" t="inlineStr">
        <is>
          <t>NCAAF: Northwestern</t>
        </is>
      </c>
      <c r="D204" s="11">
        <f>IF(COUNTIF('Draft Board'!$B$3:$K$13,C204)&gt;0,"DRAFTED","")</f>
        <v/>
      </c>
    </row>
    <row r="205">
      <c r="A205" s="12" t="inlineStr">
        <is>
          <t>NCAAF</t>
        </is>
      </c>
      <c r="B205" s="12" t="inlineStr">
        <is>
          <t>Notre Dame</t>
        </is>
      </c>
      <c r="C205" s="12" t="inlineStr">
        <is>
          <t>NCAAF: Notre Dame</t>
        </is>
      </c>
      <c r="D205" s="11">
        <f>IF(COUNTIF('Draft Board'!$B$3:$K$13,C205)&gt;0,"DRAFTED","")</f>
        <v/>
      </c>
    </row>
    <row r="206">
      <c r="A206" s="12" t="inlineStr">
        <is>
          <t>NCAAF</t>
        </is>
      </c>
      <c r="B206" s="12" t="inlineStr">
        <is>
          <t>Ohio</t>
        </is>
      </c>
      <c r="C206" s="12" t="inlineStr">
        <is>
          <t>NCAAF: Ohio</t>
        </is>
      </c>
      <c r="D206" s="11">
        <f>IF(COUNTIF('Draft Board'!$B$3:$K$13,C206)&gt;0,"DRAFTED","")</f>
        <v/>
      </c>
    </row>
    <row r="207">
      <c r="A207" s="12" t="inlineStr">
        <is>
          <t>NCAAF</t>
        </is>
      </c>
      <c r="B207" s="12" t="inlineStr">
        <is>
          <t>Ohio State</t>
        </is>
      </c>
      <c r="C207" s="12" t="inlineStr">
        <is>
          <t>NCAAF: Ohio State</t>
        </is>
      </c>
      <c r="D207" s="11">
        <f>IF(COUNTIF('Draft Board'!$B$3:$K$13,C207)&gt;0,"DRAFTED","")</f>
        <v/>
      </c>
    </row>
    <row r="208">
      <c r="A208" s="12" t="inlineStr">
        <is>
          <t>NCAAF</t>
        </is>
      </c>
      <c r="B208" s="12" t="inlineStr">
        <is>
          <t>Oklahoma</t>
        </is>
      </c>
      <c r="C208" s="12" t="inlineStr">
        <is>
          <t>NCAAF: Oklahoma</t>
        </is>
      </c>
      <c r="D208" s="11">
        <f>IF(COUNTIF('Draft Board'!$B$3:$K$13,C208)&gt;0,"DRAFTED","")</f>
        <v/>
      </c>
    </row>
    <row r="209">
      <c r="A209" s="12" t="inlineStr">
        <is>
          <t>NCAAF</t>
        </is>
      </c>
      <c r="B209" s="12" t="inlineStr">
        <is>
          <t>Oklahoma State</t>
        </is>
      </c>
      <c r="C209" s="12" t="inlineStr">
        <is>
          <t>NCAAF: Oklahoma State</t>
        </is>
      </c>
      <c r="D209" s="11">
        <f>IF(COUNTIF('Draft Board'!$B$3:$K$13,C209)&gt;0,"DRAFTED","")</f>
        <v/>
      </c>
    </row>
    <row r="210">
      <c r="A210" s="12" t="inlineStr">
        <is>
          <t>NCAAF</t>
        </is>
      </c>
      <c r="B210" s="12" t="inlineStr">
        <is>
          <t>Old Dominion</t>
        </is>
      </c>
      <c r="C210" s="12" t="inlineStr">
        <is>
          <t>NCAAF: Old Dominion</t>
        </is>
      </c>
      <c r="D210" s="11">
        <f>IF(COUNTIF('Draft Board'!$B$3:$K$13,C210)&gt;0,"DRAFTED","")</f>
        <v/>
      </c>
    </row>
    <row r="211">
      <c r="A211" s="12" t="inlineStr">
        <is>
          <t>NCAAF</t>
        </is>
      </c>
      <c r="B211" s="12" t="inlineStr">
        <is>
          <t>Ole Miss</t>
        </is>
      </c>
      <c r="C211" s="12" t="inlineStr">
        <is>
          <t>NCAAF: Ole Miss</t>
        </is>
      </c>
      <c r="D211" s="11">
        <f>IF(COUNTIF('Draft Board'!$B$3:$K$13,C211)&gt;0,"DRAFTED","")</f>
        <v/>
      </c>
    </row>
    <row r="212">
      <c r="A212" s="12" t="inlineStr">
        <is>
          <t>NCAAF</t>
        </is>
      </c>
      <c r="B212" s="12" t="inlineStr">
        <is>
          <t>Oregon</t>
        </is>
      </c>
      <c r="C212" s="12" t="inlineStr">
        <is>
          <t>NCAAF: Oregon</t>
        </is>
      </c>
      <c r="D212" s="11">
        <f>IF(COUNTIF('Draft Board'!$B$3:$K$13,C212)&gt;0,"DRAFTED","")</f>
        <v/>
      </c>
    </row>
    <row r="213">
      <c r="A213" s="12" t="inlineStr">
        <is>
          <t>NCAAF</t>
        </is>
      </c>
      <c r="B213" s="12" t="inlineStr">
        <is>
          <t>Oregon State</t>
        </is>
      </c>
      <c r="C213" s="12" t="inlineStr">
        <is>
          <t>NCAAF: Oregon State</t>
        </is>
      </c>
      <c r="D213" s="11">
        <f>IF(COUNTIF('Draft Board'!$B$3:$K$13,C213)&gt;0,"DRAFTED","")</f>
        <v/>
      </c>
    </row>
    <row r="214">
      <c r="A214" s="12" t="inlineStr">
        <is>
          <t>NCAAF</t>
        </is>
      </c>
      <c r="B214" s="12" t="inlineStr">
        <is>
          <t>Penn State</t>
        </is>
      </c>
      <c r="C214" s="12" t="inlineStr">
        <is>
          <t>NCAAF: Penn State</t>
        </is>
      </c>
      <c r="D214" s="11">
        <f>IF(COUNTIF('Draft Board'!$B$3:$K$13,C214)&gt;0,"DRAFTED","")</f>
        <v/>
      </c>
    </row>
    <row r="215">
      <c r="A215" s="12" t="inlineStr">
        <is>
          <t>NCAAF</t>
        </is>
      </c>
      <c r="B215" s="12" t="inlineStr">
        <is>
          <t>Pittsburgh</t>
        </is>
      </c>
      <c r="C215" s="12" t="inlineStr">
        <is>
          <t>NCAAF: Pittsburgh</t>
        </is>
      </c>
      <c r="D215" s="11">
        <f>IF(COUNTIF('Draft Board'!$B$3:$K$13,C215)&gt;0,"DRAFTED","")</f>
        <v/>
      </c>
    </row>
    <row r="216">
      <c r="A216" s="12" t="inlineStr">
        <is>
          <t>NCAAF</t>
        </is>
      </c>
      <c r="B216" s="12" t="inlineStr">
        <is>
          <t>Purdue</t>
        </is>
      </c>
      <c r="C216" s="12" t="inlineStr">
        <is>
          <t>NCAAF: Purdue</t>
        </is>
      </c>
      <c r="D216" s="11">
        <f>IF(COUNTIF('Draft Board'!$B$3:$K$13,C216)&gt;0,"DRAFTED","")</f>
        <v/>
      </c>
    </row>
    <row r="217">
      <c r="A217" s="12" t="inlineStr">
        <is>
          <t>NCAAF</t>
        </is>
      </c>
      <c r="B217" s="12" t="inlineStr">
        <is>
          <t>Rice</t>
        </is>
      </c>
      <c r="C217" s="12" t="inlineStr">
        <is>
          <t>NCAAF: Rice</t>
        </is>
      </c>
      <c r="D217" s="11">
        <f>IF(COUNTIF('Draft Board'!$B$3:$K$13,C217)&gt;0,"DRAFTED","")</f>
        <v/>
      </c>
    </row>
    <row r="218">
      <c r="A218" s="12" t="inlineStr">
        <is>
          <t>NCAAF</t>
        </is>
      </c>
      <c r="B218" s="12" t="inlineStr">
        <is>
          <t>Rutgers</t>
        </is>
      </c>
      <c r="C218" s="12" t="inlineStr">
        <is>
          <t>NCAAF: Rutgers</t>
        </is>
      </c>
      <c r="D218" s="11">
        <f>IF(COUNTIF('Draft Board'!$B$3:$K$13,C218)&gt;0,"DRAFTED","")</f>
        <v/>
      </c>
    </row>
    <row r="219">
      <c r="A219" s="12" t="inlineStr">
        <is>
          <t>NCAAF</t>
        </is>
      </c>
      <c r="B219" s="12" t="inlineStr">
        <is>
          <t>Sacramento State</t>
        </is>
      </c>
      <c r="C219" s="12" t="inlineStr">
        <is>
          <t>NCAAF: Sacramento State</t>
        </is>
      </c>
      <c r="D219" s="11">
        <f>IF(COUNTIF('Draft Board'!$B$3:$K$13,C219)&gt;0,"DRAFTED","")</f>
        <v/>
      </c>
    </row>
    <row r="220">
      <c r="A220" s="12" t="inlineStr">
        <is>
          <t>NCAAF</t>
        </is>
      </c>
      <c r="B220" s="12" t="inlineStr">
        <is>
          <t>Sam Houston</t>
        </is>
      </c>
      <c r="C220" s="12" t="inlineStr">
        <is>
          <t>NCAAF: Sam Houston</t>
        </is>
      </c>
      <c r="D220" s="11">
        <f>IF(COUNTIF('Draft Board'!$B$3:$K$13,C220)&gt;0,"DRAFTED","")</f>
        <v/>
      </c>
    </row>
    <row r="221">
      <c r="A221" s="12" t="inlineStr">
        <is>
          <t>NCAAF</t>
        </is>
      </c>
      <c r="B221" s="12" t="inlineStr">
        <is>
          <t>San Diego State</t>
        </is>
      </c>
      <c r="C221" s="12" t="inlineStr">
        <is>
          <t>NCAAF: San Diego State</t>
        </is>
      </c>
      <c r="D221" s="11">
        <f>IF(COUNTIF('Draft Board'!$B$3:$K$13,C221)&gt;0,"DRAFTED","")</f>
        <v/>
      </c>
    </row>
    <row r="222">
      <c r="A222" s="12" t="inlineStr">
        <is>
          <t>NCAAF</t>
        </is>
      </c>
      <c r="B222" s="12" t="inlineStr">
        <is>
          <t>San Jose State</t>
        </is>
      </c>
      <c r="C222" s="12" t="inlineStr">
        <is>
          <t>NCAAF: San Jose State</t>
        </is>
      </c>
      <c r="D222" s="11">
        <f>IF(COUNTIF('Draft Board'!$B$3:$K$13,C222)&gt;0,"DRAFTED","")</f>
        <v/>
      </c>
    </row>
    <row r="223">
      <c r="A223" s="12" t="inlineStr">
        <is>
          <t>NCAAF</t>
        </is>
      </c>
      <c r="B223" s="12" t="inlineStr">
        <is>
          <t>SMU</t>
        </is>
      </c>
      <c r="C223" s="12" t="inlineStr">
        <is>
          <t>NCAAF: SMU</t>
        </is>
      </c>
      <c r="D223" s="11">
        <f>IF(COUNTIF('Draft Board'!$B$3:$K$13,C223)&gt;0,"DRAFTED","")</f>
        <v/>
      </c>
    </row>
    <row r="224">
      <c r="A224" s="12" t="inlineStr">
        <is>
          <t>NCAAF</t>
        </is>
      </c>
      <c r="B224" s="12" t="inlineStr">
        <is>
          <t>South Alabama</t>
        </is>
      </c>
      <c r="C224" s="12" t="inlineStr">
        <is>
          <t>NCAAF: South Alabama</t>
        </is>
      </c>
      <c r="D224" s="11">
        <f>IF(COUNTIF('Draft Board'!$B$3:$K$13,C224)&gt;0,"DRAFTED","")</f>
        <v/>
      </c>
    </row>
    <row r="225">
      <c r="A225" s="12" t="inlineStr">
        <is>
          <t>NCAAF</t>
        </is>
      </c>
      <c r="B225" s="12" t="inlineStr">
        <is>
          <t>South Carolina</t>
        </is>
      </c>
      <c r="C225" s="12" t="inlineStr">
        <is>
          <t>NCAAF: South Carolina</t>
        </is>
      </c>
      <c r="D225" s="11">
        <f>IF(COUNTIF('Draft Board'!$B$3:$K$13,C225)&gt;0,"DRAFTED","")</f>
        <v/>
      </c>
    </row>
    <row r="226">
      <c r="A226" s="12" t="inlineStr">
        <is>
          <t>NCAAF</t>
        </is>
      </c>
      <c r="B226" s="12" t="inlineStr">
        <is>
          <t>South Florida</t>
        </is>
      </c>
      <c r="C226" s="12" t="inlineStr">
        <is>
          <t>NCAAF: South Florida</t>
        </is>
      </c>
      <c r="D226" s="11">
        <f>IF(COUNTIF('Draft Board'!$B$3:$K$13,C226)&gt;0,"DRAFTED","")</f>
        <v/>
      </c>
    </row>
    <row r="227">
      <c r="A227" s="12" t="inlineStr">
        <is>
          <t>NCAAF</t>
        </is>
      </c>
      <c r="B227" s="12" t="inlineStr">
        <is>
          <t>Southern Miss</t>
        </is>
      </c>
      <c r="C227" s="12" t="inlineStr">
        <is>
          <t>NCAAF: Southern Miss</t>
        </is>
      </c>
      <c r="D227" s="11">
        <f>IF(COUNTIF('Draft Board'!$B$3:$K$13,C227)&gt;0,"DRAFTED","")</f>
        <v/>
      </c>
    </row>
    <row r="228">
      <c r="A228" s="12" t="inlineStr">
        <is>
          <t>NCAAF</t>
        </is>
      </c>
      <c r="B228" s="12" t="inlineStr">
        <is>
          <t>Stanford</t>
        </is>
      </c>
      <c r="C228" s="12" t="inlineStr">
        <is>
          <t>NCAAF: Stanford</t>
        </is>
      </c>
      <c r="D228" s="11">
        <f>IF(COUNTIF('Draft Board'!$B$3:$K$13,C228)&gt;0,"DRAFTED","")</f>
        <v/>
      </c>
    </row>
    <row r="229">
      <c r="A229" s="12" t="inlineStr">
        <is>
          <t>NCAAF</t>
        </is>
      </c>
      <c r="B229" s="12" t="inlineStr">
        <is>
          <t>Syracuse</t>
        </is>
      </c>
      <c r="C229" s="12" t="inlineStr">
        <is>
          <t>NCAAF: Syracuse</t>
        </is>
      </c>
      <c r="D229" s="11">
        <f>IF(COUNTIF('Draft Board'!$B$3:$K$13,C229)&gt;0,"DRAFTED","")</f>
        <v/>
      </c>
    </row>
    <row r="230">
      <c r="A230" s="12" t="inlineStr">
        <is>
          <t>NCAAF</t>
        </is>
      </c>
      <c r="B230" s="12" t="inlineStr">
        <is>
          <t>TCU</t>
        </is>
      </c>
      <c r="C230" s="12" t="inlineStr">
        <is>
          <t>NCAAF: TCU</t>
        </is>
      </c>
      <c r="D230" s="11">
        <f>IF(COUNTIF('Draft Board'!$B$3:$K$13,C230)&gt;0,"DRAFTED","")</f>
        <v/>
      </c>
    </row>
    <row r="231">
      <c r="A231" s="12" t="inlineStr">
        <is>
          <t>NCAAF</t>
        </is>
      </c>
      <c r="B231" s="12" t="inlineStr">
        <is>
          <t>Temple</t>
        </is>
      </c>
      <c r="C231" s="12" t="inlineStr">
        <is>
          <t>NCAAF: Temple</t>
        </is>
      </c>
      <c r="D231" s="11">
        <f>IF(COUNTIF('Draft Board'!$B$3:$K$13,C231)&gt;0,"DRAFTED","")</f>
        <v/>
      </c>
    </row>
    <row r="232">
      <c r="A232" s="12" t="inlineStr">
        <is>
          <t>NCAAF</t>
        </is>
      </c>
      <c r="B232" s="12" t="inlineStr">
        <is>
          <t>Tennessee</t>
        </is>
      </c>
      <c r="C232" s="12" t="inlineStr">
        <is>
          <t>NCAAF: Tennessee</t>
        </is>
      </c>
      <c r="D232" s="11">
        <f>IF(COUNTIF('Draft Board'!$B$3:$K$13,C232)&gt;0,"DRAFTED","")</f>
        <v/>
      </c>
    </row>
    <row r="233">
      <c r="A233" s="12" t="inlineStr">
        <is>
          <t>NCAAF</t>
        </is>
      </c>
      <c r="B233" s="12" t="inlineStr">
        <is>
          <t>Texas</t>
        </is>
      </c>
      <c r="C233" s="12" t="inlineStr">
        <is>
          <t>NCAAF: Texas</t>
        </is>
      </c>
      <c r="D233" s="11">
        <f>IF(COUNTIF('Draft Board'!$B$3:$K$13,C233)&gt;0,"DRAFTED","")</f>
        <v/>
      </c>
    </row>
    <row r="234">
      <c r="A234" s="12" t="inlineStr">
        <is>
          <t>NCAAF</t>
        </is>
      </c>
      <c r="B234" s="12" t="inlineStr">
        <is>
          <t>Texas A&amp;M</t>
        </is>
      </c>
      <c r="C234" s="12" t="inlineStr">
        <is>
          <t>NCAAF: Texas A&amp;M</t>
        </is>
      </c>
      <c r="D234" s="11">
        <f>IF(COUNTIF('Draft Board'!$B$3:$K$13,C234)&gt;0,"DRAFTED","")</f>
        <v/>
      </c>
    </row>
    <row r="235">
      <c r="A235" s="12" t="inlineStr">
        <is>
          <t>NCAAF</t>
        </is>
      </c>
      <c r="B235" s="12" t="inlineStr">
        <is>
          <t>Texas State</t>
        </is>
      </c>
      <c r="C235" s="12" t="inlineStr">
        <is>
          <t>NCAAF: Texas State</t>
        </is>
      </c>
      <c r="D235" s="11">
        <f>IF(COUNTIF('Draft Board'!$B$3:$K$13,C235)&gt;0,"DRAFTED","")</f>
        <v/>
      </c>
    </row>
    <row r="236">
      <c r="A236" s="12" t="inlineStr">
        <is>
          <t>NCAAF</t>
        </is>
      </c>
      <c r="B236" s="12" t="inlineStr">
        <is>
          <t>Texas Tech</t>
        </is>
      </c>
      <c r="C236" s="12" t="inlineStr">
        <is>
          <t>NCAAF: Texas Tech</t>
        </is>
      </c>
      <c r="D236" s="11">
        <f>IF(COUNTIF('Draft Board'!$B$3:$K$13,C236)&gt;0,"DRAFTED","")</f>
        <v/>
      </c>
    </row>
    <row r="237">
      <c r="A237" s="12" t="inlineStr">
        <is>
          <t>NCAAF</t>
        </is>
      </c>
      <c r="B237" s="12" t="inlineStr">
        <is>
          <t>Toledo</t>
        </is>
      </c>
      <c r="C237" s="12" t="inlineStr">
        <is>
          <t>NCAAF: Toledo</t>
        </is>
      </c>
      <c r="D237" s="11">
        <f>IF(COUNTIF('Draft Board'!$B$3:$K$13,C237)&gt;0,"DRAFTED","")</f>
        <v/>
      </c>
    </row>
    <row r="238">
      <c r="A238" s="12" t="inlineStr">
        <is>
          <t>NCAAF</t>
        </is>
      </c>
      <c r="B238" s="12" t="inlineStr">
        <is>
          <t>Troy</t>
        </is>
      </c>
      <c r="C238" s="12" t="inlineStr">
        <is>
          <t>NCAAF: Troy</t>
        </is>
      </c>
      <c r="D238" s="11">
        <f>IF(COUNTIF('Draft Board'!$B$3:$K$13,C238)&gt;0,"DRAFTED","")</f>
        <v/>
      </c>
    </row>
    <row r="239">
      <c r="A239" s="12" t="inlineStr">
        <is>
          <t>NCAAF</t>
        </is>
      </c>
      <c r="B239" s="12" t="inlineStr">
        <is>
          <t>Tulane</t>
        </is>
      </c>
      <c r="C239" s="12" t="inlineStr">
        <is>
          <t>NCAAF: Tulane</t>
        </is>
      </c>
      <c r="D239" s="11">
        <f>IF(COUNTIF('Draft Board'!$B$3:$K$13,C239)&gt;0,"DRAFTED","")</f>
        <v/>
      </c>
    </row>
    <row r="240">
      <c r="A240" s="12" t="inlineStr">
        <is>
          <t>NCAAF</t>
        </is>
      </c>
      <c r="B240" s="12" t="inlineStr">
        <is>
          <t>Tulsa</t>
        </is>
      </c>
      <c r="C240" s="12" t="inlineStr">
        <is>
          <t>NCAAF: Tulsa</t>
        </is>
      </c>
      <c r="D240" s="11">
        <f>IF(COUNTIF('Draft Board'!$B$3:$K$13,C240)&gt;0,"DRAFTED","")</f>
        <v/>
      </c>
    </row>
    <row r="241">
      <c r="A241" s="12" t="inlineStr">
        <is>
          <t>NCAAF</t>
        </is>
      </c>
      <c r="B241" s="12" t="inlineStr">
        <is>
          <t>UAB</t>
        </is>
      </c>
      <c r="C241" s="12" t="inlineStr">
        <is>
          <t>NCAAF: UAB</t>
        </is>
      </c>
      <c r="D241" s="11">
        <f>IF(COUNTIF('Draft Board'!$B$3:$K$13,C241)&gt;0,"DRAFTED","")</f>
        <v/>
      </c>
    </row>
    <row r="242">
      <c r="A242" s="12" t="inlineStr">
        <is>
          <t>NCAAF</t>
        </is>
      </c>
      <c r="B242" s="12" t="inlineStr">
        <is>
          <t>UCF</t>
        </is>
      </c>
      <c r="C242" s="12" t="inlineStr">
        <is>
          <t>NCAAF: UCF</t>
        </is>
      </c>
      <c r="D242" s="11">
        <f>IF(COUNTIF('Draft Board'!$B$3:$K$13,C242)&gt;0,"DRAFTED","")</f>
        <v/>
      </c>
    </row>
    <row r="243">
      <c r="A243" s="12" t="inlineStr">
        <is>
          <t>NCAAF</t>
        </is>
      </c>
      <c r="B243" s="12" t="inlineStr">
        <is>
          <t>UCLA</t>
        </is>
      </c>
      <c r="C243" s="12" t="inlineStr">
        <is>
          <t>NCAAF: UCLA</t>
        </is>
      </c>
      <c r="D243" s="11">
        <f>IF(COUNTIF('Draft Board'!$B$3:$K$13,C243)&gt;0,"DRAFTED","")</f>
        <v/>
      </c>
    </row>
    <row r="244">
      <c r="A244" s="12" t="inlineStr">
        <is>
          <t>NCAAF</t>
        </is>
      </c>
      <c r="B244" s="12" t="inlineStr">
        <is>
          <t>UConn</t>
        </is>
      </c>
      <c r="C244" s="12" t="inlineStr">
        <is>
          <t>NCAAF: UConn</t>
        </is>
      </c>
      <c r="D244" s="11">
        <f>IF(COUNTIF('Draft Board'!$B$3:$K$13,C244)&gt;0,"DRAFTED","")</f>
        <v/>
      </c>
    </row>
    <row r="245">
      <c r="A245" s="12" t="inlineStr">
        <is>
          <t>NCAAF</t>
        </is>
      </c>
      <c r="B245" s="12" t="inlineStr">
        <is>
          <t>ULM</t>
        </is>
      </c>
      <c r="C245" s="12" t="inlineStr">
        <is>
          <t>NCAAF: ULM</t>
        </is>
      </c>
      <c r="D245" s="11">
        <f>IF(COUNTIF('Draft Board'!$B$3:$K$13,C245)&gt;0,"DRAFTED","")</f>
        <v/>
      </c>
    </row>
    <row r="246">
      <c r="A246" s="12" t="inlineStr">
        <is>
          <t>NCAAF</t>
        </is>
      </c>
      <c r="B246" s="12" t="inlineStr">
        <is>
          <t>UMass</t>
        </is>
      </c>
      <c r="C246" s="12" t="inlineStr">
        <is>
          <t>NCAAF: UMass</t>
        </is>
      </c>
      <c r="D246" s="11">
        <f>IF(COUNTIF('Draft Board'!$B$3:$K$13,C246)&gt;0,"DRAFTED","")</f>
        <v/>
      </c>
    </row>
    <row r="247">
      <c r="A247" s="12" t="inlineStr">
        <is>
          <t>NCAAF</t>
        </is>
      </c>
      <c r="B247" s="12" t="inlineStr">
        <is>
          <t>UNLV</t>
        </is>
      </c>
      <c r="C247" s="12" t="inlineStr">
        <is>
          <t>NCAAF: UNLV</t>
        </is>
      </c>
      <c r="D247" s="11">
        <f>IF(COUNTIF('Draft Board'!$B$3:$K$13,C247)&gt;0,"DRAFTED","")</f>
        <v/>
      </c>
    </row>
    <row r="248">
      <c r="A248" s="12" t="inlineStr">
        <is>
          <t>NCAAF</t>
        </is>
      </c>
      <c r="B248" s="12" t="inlineStr">
        <is>
          <t>USC</t>
        </is>
      </c>
      <c r="C248" s="12" t="inlineStr">
        <is>
          <t>NCAAF: USC</t>
        </is>
      </c>
      <c r="D248" s="11">
        <f>IF(COUNTIF('Draft Board'!$B$3:$K$13,C248)&gt;0,"DRAFTED","")</f>
        <v/>
      </c>
    </row>
    <row r="249">
      <c r="A249" s="12" t="inlineStr">
        <is>
          <t>NCAAF</t>
        </is>
      </c>
      <c r="B249" s="12" t="inlineStr">
        <is>
          <t>Utah</t>
        </is>
      </c>
      <c r="C249" s="12" t="inlineStr">
        <is>
          <t>NCAAF: Utah</t>
        </is>
      </c>
      <c r="D249" s="11">
        <f>IF(COUNTIF('Draft Board'!$B$3:$K$13,C249)&gt;0,"DRAFTED","")</f>
        <v/>
      </c>
    </row>
    <row r="250">
      <c r="A250" s="12" t="inlineStr">
        <is>
          <t>NCAAF</t>
        </is>
      </c>
      <c r="B250" s="12" t="inlineStr">
        <is>
          <t>Utah State</t>
        </is>
      </c>
      <c r="C250" s="12" t="inlineStr">
        <is>
          <t>NCAAF: Utah State</t>
        </is>
      </c>
      <c r="D250" s="11">
        <f>IF(COUNTIF('Draft Board'!$B$3:$K$13,C250)&gt;0,"DRAFTED","")</f>
        <v/>
      </c>
    </row>
    <row r="251">
      <c r="A251" s="12" t="inlineStr">
        <is>
          <t>NCAAF</t>
        </is>
      </c>
      <c r="B251" s="12" t="inlineStr">
        <is>
          <t>UTEP</t>
        </is>
      </c>
      <c r="C251" s="12" t="inlineStr">
        <is>
          <t>NCAAF: UTEP</t>
        </is>
      </c>
      <c r="D251" s="11">
        <f>IF(COUNTIF('Draft Board'!$B$3:$K$13,C251)&gt;0,"DRAFTED","")</f>
        <v/>
      </c>
    </row>
    <row r="252">
      <c r="A252" s="12" t="inlineStr">
        <is>
          <t>NCAAF</t>
        </is>
      </c>
      <c r="B252" s="12" t="inlineStr">
        <is>
          <t>UTSA</t>
        </is>
      </c>
      <c r="C252" s="12" t="inlineStr">
        <is>
          <t>NCAAF: UTSA</t>
        </is>
      </c>
      <c r="D252" s="11">
        <f>IF(COUNTIF('Draft Board'!$B$3:$K$13,C252)&gt;0,"DRAFTED","")</f>
        <v/>
      </c>
    </row>
    <row r="253">
      <c r="A253" s="12" t="inlineStr">
        <is>
          <t>NCAAF</t>
        </is>
      </c>
      <c r="B253" s="12" t="inlineStr">
        <is>
          <t>Vanderbilt</t>
        </is>
      </c>
      <c r="C253" s="12" t="inlineStr">
        <is>
          <t>NCAAF: Vanderbilt</t>
        </is>
      </c>
      <c r="D253" s="11">
        <f>IF(COUNTIF('Draft Board'!$B$3:$K$13,C253)&gt;0,"DRAFTED","")</f>
        <v/>
      </c>
    </row>
    <row r="254">
      <c r="A254" s="12" t="inlineStr">
        <is>
          <t>NCAAF</t>
        </is>
      </c>
      <c r="B254" s="12" t="inlineStr">
        <is>
          <t>Virginia</t>
        </is>
      </c>
      <c r="C254" s="12" t="inlineStr">
        <is>
          <t>NCAAF: Virginia</t>
        </is>
      </c>
      <c r="D254" s="11">
        <f>IF(COUNTIF('Draft Board'!$B$3:$K$13,C254)&gt;0,"DRAFTED","")</f>
        <v/>
      </c>
    </row>
    <row r="255">
      <c r="A255" s="12" t="inlineStr">
        <is>
          <t>NCAAF</t>
        </is>
      </c>
      <c r="B255" s="12" t="inlineStr">
        <is>
          <t>Virginia Tech</t>
        </is>
      </c>
      <c r="C255" s="12" t="inlineStr">
        <is>
          <t>NCAAF: Virginia Tech</t>
        </is>
      </c>
      <c r="D255" s="11">
        <f>IF(COUNTIF('Draft Board'!$B$3:$K$13,C255)&gt;0,"DRAFTED","")</f>
        <v/>
      </c>
    </row>
    <row r="256">
      <c r="A256" s="12" t="inlineStr">
        <is>
          <t>NCAAF</t>
        </is>
      </c>
      <c r="B256" s="12" t="inlineStr">
        <is>
          <t>Wake Forest</t>
        </is>
      </c>
      <c r="C256" s="12" t="inlineStr">
        <is>
          <t>NCAAF: Wake Forest</t>
        </is>
      </c>
      <c r="D256" s="11">
        <f>IF(COUNTIF('Draft Board'!$B$3:$K$13,C256)&gt;0,"DRAFTED","")</f>
        <v/>
      </c>
    </row>
    <row r="257">
      <c r="A257" s="12" t="inlineStr">
        <is>
          <t>NCAAF</t>
        </is>
      </c>
      <c r="B257" s="12" t="inlineStr">
        <is>
          <t>Washington</t>
        </is>
      </c>
      <c r="C257" s="12" t="inlineStr">
        <is>
          <t>NCAAF: Washington</t>
        </is>
      </c>
      <c r="D257" s="11">
        <f>IF(COUNTIF('Draft Board'!$B$3:$K$13,C257)&gt;0,"DRAFTED","")</f>
        <v/>
      </c>
    </row>
    <row r="258">
      <c r="A258" s="12" t="inlineStr">
        <is>
          <t>NCAAF</t>
        </is>
      </c>
      <c r="B258" s="12" t="inlineStr">
        <is>
          <t>Washington State</t>
        </is>
      </c>
      <c r="C258" s="12" t="inlineStr">
        <is>
          <t>NCAAF: Washington State</t>
        </is>
      </c>
      <c r="D258" s="11">
        <f>IF(COUNTIF('Draft Board'!$B$3:$K$13,C258)&gt;0,"DRAFTED","")</f>
        <v/>
      </c>
    </row>
    <row r="259">
      <c r="A259" s="12" t="inlineStr">
        <is>
          <t>NCAAF</t>
        </is>
      </c>
      <c r="B259" s="12" t="inlineStr">
        <is>
          <t>West Virginia</t>
        </is>
      </c>
      <c r="C259" s="12" t="inlineStr">
        <is>
          <t>NCAAF: West Virginia</t>
        </is>
      </c>
      <c r="D259" s="11">
        <f>IF(COUNTIF('Draft Board'!$B$3:$K$13,C259)&gt;0,"DRAFTED","")</f>
        <v/>
      </c>
    </row>
    <row r="260">
      <c r="A260" s="12" t="inlineStr">
        <is>
          <t>NCAAF</t>
        </is>
      </c>
      <c r="B260" s="12" t="inlineStr">
        <is>
          <t>Western Kentucky</t>
        </is>
      </c>
      <c r="C260" s="12" t="inlineStr">
        <is>
          <t>NCAAF: Western Kentucky</t>
        </is>
      </c>
      <c r="D260" s="11">
        <f>IF(COUNTIF('Draft Board'!$B$3:$K$13,C260)&gt;0,"DRAFTED","")</f>
        <v/>
      </c>
    </row>
    <row r="261">
      <c r="A261" s="12" t="inlineStr">
        <is>
          <t>NCAAF</t>
        </is>
      </c>
      <c r="B261" s="12" t="inlineStr">
        <is>
          <t>Western Michigan</t>
        </is>
      </c>
      <c r="C261" s="12" t="inlineStr">
        <is>
          <t>NCAAF: Western Michigan</t>
        </is>
      </c>
      <c r="D261" s="11">
        <f>IF(COUNTIF('Draft Board'!$B$3:$K$13,C261)&gt;0,"DRAFTED","")</f>
        <v/>
      </c>
    </row>
    <row r="262">
      <c r="A262" s="12" t="inlineStr">
        <is>
          <t>NCAAF</t>
        </is>
      </c>
      <c r="B262" s="12" t="inlineStr">
        <is>
          <t>Wisconsin</t>
        </is>
      </c>
      <c r="C262" s="12" t="inlineStr">
        <is>
          <t>NCAAF: Wisconsin</t>
        </is>
      </c>
      <c r="D262" s="11">
        <f>IF(COUNTIF('Draft Board'!$B$3:$K$13,C262)&gt;0,"DRAFTED","")</f>
        <v/>
      </c>
    </row>
    <row r="263">
      <c r="A263" s="12" t="inlineStr">
        <is>
          <t>NCAAF</t>
        </is>
      </c>
      <c r="B263" s="12" t="inlineStr">
        <is>
          <t>Wyoming</t>
        </is>
      </c>
      <c r="C263" s="12" t="inlineStr">
        <is>
          <t>NCAAF: Wyoming</t>
        </is>
      </c>
      <c r="D263" s="11">
        <f>IF(COUNTIF('Draft Board'!$B$3:$K$13,C263)&gt;0,"DRAFTED","")</f>
        <v/>
      </c>
    </row>
    <row r="264">
      <c r="A264" s="12" t="inlineStr">
        <is>
          <t>NCAAM</t>
        </is>
      </c>
      <c r="B264" s="12" t="inlineStr">
        <is>
          <t>Abilene Christian</t>
        </is>
      </c>
      <c r="C264" s="12" t="inlineStr">
        <is>
          <t>NCAAM: Abilene Christian</t>
        </is>
      </c>
      <c r="D264" s="11">
        <f>IF(COUNTIF('Draft Board'!$B$3:$K$13,C264)&gt;0,"DRAFTED","")</f>
        <v/>
      </c>
    </row>
    <row r="265">
      <c r="A265" s="12" t="inlineStr">
        <is>
          <t>NCAAM</t>
        </is>
      </c>
      <c r="B265" s="12" t="inlineStr">
        <is>
          <t>Air Force</t>
        </is>
      </c>
      <c r="C265" s="12" t="inlineStr">
        <is>
          <t>NCAAM: Air Force</t>
        </is>
      </c>
      <c r="D265" s="11">
        <f>IF(COUNTIF('Draft Board'!$B$3:$K$13,C265)&gt;0,"DRAFTED","")</f>
        <v/>
      </c>
    </row>
    <row r="266">
      <c r="A266" s="12" t="inlineStr">
        <is>
          <t>NCAAM</t>
        </is>
      </c>
      <c r="B266" s="12" t="inlineStr">
        <is>
          <t>Akron</t>
        </is>
      </c>
      <c r="C266" s="12" t="inlineStr">
        <is>
          <t>NCAAM: Akron</t>
        </is>
      </c>
      <c r="D266" s="11">
        <f>IF(COUNTIF('Draft Board'!$B$3:$K$13,C266)&gt;0,"DRAFTED","")</f>
        <v/>
      </c>
    </row>
    <row r="267">
      <c r="A267" s="12" t="inlineStr">
        <is>
          <t>NCAAM</t>
        </is>
      </c>
      <c r="B267" s="12" t="inlineStr">
        <is>
          <t>Alabama</t>
        </is>
      </c>
      <c r="C267" s="12" t="inlineStr">
        <is>
          <t>NCAAM: Alabama</t>
        </is>
      </c>
      <c r="D267" s="11">
        <f>IF(COUNTIF('Draft Board'!$B$3:$K$13,C267)&gt;0,"DRAFTED","")</f>
        <v/>
      </c>
    </row>
    <row r="268">
      <c r="A268" s="12" t="inlineStr">
        <is>
          <t>NCAAM</t>
        </is>
      </c>
      <c r="B268" s="12" t="inlineStr">
        <is>
          <t>Alabama A&amp;M</t>
        </is>
      </c>
      <c r="C268" s="12" t="inlineStr">
        <is>
          <t>NCAAM: Alabama A&amp;M</t>
        </is>
      </c>
      <c r="D268" s="11">
        <f>IF(COUNTIF('Draft Board'!$B$3:$K$13,C268)&gt;0,"DRAFTED","")</f>
        <v/>
      </c>
    </row>
    <row r="269">
      <c r="A269" s="12" t="inlineStr">
        <is>
          <t>NCAAM</t>
        </is>
      </c>
      <c r="B269" s="12" t="inlineStr">
        <is>
          <t>Alabama State</t>
        </is>
      </c>
      <c r="C269" s="12" t="inlineStr">
        <is>
          <t>NCAAM: Alabama State</t>
        </is>
      </c>
      <c r="D269" s="11">
        <f>IF(COUNTIF('Draft Board'!$B$3:$K$13,C269)&gt;0,"DRAFTED","")</f>
        <v/>
      </c>
    </row>
    <row r="270">
      <c r="A270" s="12" t="inlineStr">
        <is>
          <t>NCAAM</t>
        </is>
      </c>
      <c r="B270" s="12" t="inlineStr">
        <is>
          <t>Albany</t>
        </is>
      </c>
      <c r="C270" s="12" t="inlineStr">
        <is>
          <t>NCAAM: Albany</t>
        </is>
      </c>
      <c r="D270" s="11">
        <f>IF(COUNTIF('Draft Board'!$B$3:$K$13,C270)&gt;0,"DRAFTED","")</f>
        <v/>
      </c>
    </row>
    <row r="271">
      <c r="A271" s="12" t="inlineStr">
        <is>
          <t>NCAAM</t>
        </is>
      </c>
      <c r="B271" s="12" t="inlineStr">
        <is>
          <t>Alcorn State</t>
        </is>
      </c>
      <c r="C271" s="12" t="inlineStr">
        <is>
          <t>NCAAM: Alcorn State</t>
        </is>
      </c>
      <c r="D271" s="11">
        <f>IF(COUNTIF('Draft Board'!$B$3:$K$13,C271)&gt;0,"DRAFTED","")</f>
        <v/>
      </c>
    </row>
    <row r="272">
      <c r="A272" s="12" t="inlineStr">
        <is>
          <t>NCAAM</t>
        </is>
      </c>
      <c r="B272" s="12" t="inlineStr">
        <is>
          <t>American</t>
        </is>
      </c>
      <c r="C272" s="12" t="inlineStr">
        <is>
          <t>NCAAM: American</t>
        </is>
      </c>
      <c r="D272" s="11">
        <f>IF(COUNTIF('Draft Board'!$B$3:$K$13,C272)&gt;0,"DRAFTED","")</f>
        <v/>
      </c>
    </row>
    <row r="273">
      <c r="A273" s="12" t="inlineStr">
        <is>
          <t>NCAAM</t>
        </is>
      </c>
      <c r="B273" s="12" t="inlineStr">
        <is>
          <t>Appalachian State</t>
        </is>
      </c>
      <c r="C273" s="12" t="inlineStr">
        <is>
          <t>NCAAM: Appalachian State</t>
        </is>
      </c>
      <c r="D273" s="11">
        <f>IF(COUNTIF('Draft Board'!$B$3:$K$13,C273)&gt;0,"DRAFTED","")</f>
        <v/>
      </c>
    </row>
    <row r="274">
      <c r="A274" s="12" t="inlineStr">
        <is>
          <t>NCAAM</t>
        </is>
      </c>
      <c r="B274" s="12" t="inlineStr">
        <is>
          <t>Arizona</t>
        </is>
      </c>
      <c r="C274" s="12" t="inlineStr">
        <is>
          <t>NCAAM: Arizona</t>
        </is>
      </c>
      <c r="D274" s="11">
        <f>IF(COUNTIF('Draft Board'!$B$3:$K$13,C274)&gt;0,"DRAFTED","")</f>
        <v/>
      </c>
    </row>
    <row r="275">
      <c r="A275" s="12" t="inlineStr">
        <is>
          <t>NCAAM</t>
        </is>
      </c>
      <c r="B275" s="12" t="inlineStr">
        <is>
          <t>Arizona State</t>
        </is>
      </c>
      <c r="C275" s="12" t="inlineStr">
        <is>
          <t>NCAAM: Arizona State</t>
        </is>
      </c>
      <c r="D275" s="11">
        <f>IF(COUNTIF('Draft Board'!$B$3:$K$13,C275)&gt;0,"DRAFTED","")</f>
        <v/>
      </c>
    </row>
    <row r="276">
      <c r="A276" s="12" t="inlineStr">
        <is>
          <t>NCAAM</t>
        </is>
      </c>
      <c r="B276" s="12" t="inlineStr">
        <is>
          <t>Arkansas</t>
        </is>
      </c>
      <c r="C276" s="12" t="inlineStr">
        <is>
          <t>NCAAM: Arkansas</t>
        </is>
      </c>
      <c r="D276" s="11">
        <f>IF(COUNTIF('Draft Board'!$B$3:$K$13,C276)&gt;0,"DRAFTED","")</f>
        <v/>
      </c>
    </row>
    <row r="277">
      <c r="A277" s="12" t="inlineStr">
        <is>
          <t>NCAAM</t>
        </is>
      </c>
      <c r="B277" s="12" t="inlineStr">
        <is>
          <t>Arkansas State</t>
        </is>
      </c>
      <c r="C277" s="12" t="inlineStr">
        <is>
          <t>NCAAM: Arkansas State</t>
        </is>
      </c>
      <c r="D277" s="11">
        <f>IF(COUNTIF('Draft Board'!$B$3:$K$13,C277)&gt;0,"DRAFTED","")</f>
        <v/>
      </c>
    </row>
    <row r="278">
      <c r="A278" s="12" t="inlineStr">
        <is>
          <t>NCAAM</t>
        </is>
      </c>
      <c r="B278" s="12" t="inlineStr">
        <is>
          <t>Arkansas-Pine Bluff</t>
        </is>
      </c>
      <c r="C278" s="12" t="inlineStr">
        <is>
          <t>NCAAM: Arkansas-Pine Bluff</t>
        </is>
      </c>
      <c r="D278" s="11">
        <f>IF(COUNTIF('Draft Board'!$B$3:$K$13,C278)&gt;0,"DRAFTED","")</f>
        <v/>
      </c>
    </row>
    <row r="279">
      <c r="A279" s="12" t="inlineStr">
        <is>
          <t>NCAAM</t>
        </is>
      </c>
      <c r="B279" s="12" t="inlineStr">
        <is>
          <t>Army</t>
        </is>
      </c>
      <c r="C279" s="12" t="inlineStr">
        <is>
          <t>NCAAM: Army</t>
        </is>
      </c>
      <c r="D279" s="11">
        <f>IF(COUNTIF('Draft Board'!$B$3:$K$13,C279)&gt;0,"DRAFTED","")</f>
        <v/>
      </c>
    </row>
    <row r="280">
      <c r="A280" s="12" t="inlineStr">
        <is>
          <t>NCAAM</t>
        </is>
      </c>
      <c r="B280" s="12" t="inlineStr">
        <is>
          <t>Auburn</t>
        </is>
      </c>
      <c r="C280" s="12" t="inlineStr">
        <is>
          <t>NCAAM: Auburn</t>
        </is>
      </c>
      <c r="D280" s="11">
        <f>IF(COUNTIF('Draft Board'!$B$3:$K$13,C280)&gt;0,"DRAFTED","")</f>
        <v/>
      </c>
    </row>
    <row r="281">
      <c r="A281" s="12" t="inlineStr">
        <is>
          <t>NCAAM</t>
        </is>
      </c>
      <c r="B281" s="12" t="inlineStr">
        <is>
          <t>Austin Peay</t>
        </is>
      </c>
      <c r="C281" s="12" t="inlineStr">
        <is>
          <t>NCAAM: Austin Peay</t>
        </is>
      </c>
      <c r="D281" s="11">
        <f>IF(COUNTIF('Draft Board'!$B$3:$K$13,C281)&gt;0,"DRAFTED","")</f>
        <v/>
      </c>
    </row>
    <row r="282">
      <c r="A282" s="12" t="inlineStr">
        <is>
          <t>NCAAM</t>
        </is>
      </c>
      <c r="B282" s="12" t="inlineStr">
        <is>
          <t>Ball State</t>
        </is>
      </c>
      <c r="C282" s="12" t="inlineStr">
        <is>
          <t>NCAAM: Ball State</t>
        </is>
      </c>
      <c r="D282" s="11">
        <f>IF(COUNTIF('Draft Board'!$B$3:$K$13,C282)&gt;0,"DRAFTED","")</f>
        <v/>
      </c>
    </row>
    <row r="283">
      <c r="A283" s="12" t="inlineStr">
        <is>
          <t>NCAAM</t>
        </is>
      </c>
      <c r="B283" s="12" t="inlineStr">
        <is>
          <t>Baylor</t>
        </is>
      </c>
      <c r="C283" s="12" t="inlineStr">
        <is>
          <t>NCAAM: Baylor</t>
        </is>
      </c>
      <c r="D283" s="11">
        <f>IF(COUNTIF('Draft Board'!$B$3:$K$13,C283)&gt;0,"DRAFTED","")</f>
        <v/>
      </c>
    </row>
    <row r="284">
      <c r="A284" s="12" t="inlineStr">
        <is>
          <t>NCAAM</t>
        </is>
      </c>
      <c r="B284" s="12" t="inlineStr">
        <is>
          <t>Bellarmine</t>
        </is>
      </c>
      <c r="C284" s="12" t="inlineStr">
        <is>
          <t>NCAAM: Bellarmine</t>
        </is>
      </c>
      <c r="D284" s="11">
        <f>IF(COUNTIF('Draft Board'!$B$3:$K$13,C284)&gt;0,"DRAFTED","")</f>
        <v/>
      </c>
    </row>
    <row r="285">
      <c r="A285" s="12" t="inlineStr">
        <is>
          <t>NCAAM</t>
        </is>
      </c>
      <c r="B285" s="12" t="inlineStr">
        <is>
          <t>Belmont</t>
        </is>
      </c>
      <c r="C285" s="12" t="inlineStr">
        <is>
          <t>NCAAM: Belmont</t>
        </is>
      </c>
      <c r="D285" s="11">
        <f>IF(COUNTIF('Draft Board'!$B$3:$K$13,C285)&gt;0,"DRAFTED","")</f>
        <v/>
      </c>
    </row>
    <row r="286">
      <c r="A286" s="12" t="inlineStr">
        <is>
          <t>NCAAM</t>
        </is>
      </c>
      <c r="B286" s="12" t="inlineStr">
        <is>
          <t>Bethune-Cookman</t>
        </is>
      </c>
      <c r="C286" s="12" t="inlineStr">
        <is>
          <t>NCAAM: Bethune-Cookman</t>
        </is>
      </c>
      <c r="D286" s="11">
        <f>IF(COUNTIF('Draft Board'!$B$3:$K$13,C286)&gt;0,"DRAFTED","")</f>
        <v/>
      </c>
    </row>
    <row r="287">
      <c r="A287" s="12" t="inlineStr">
        <is>
          <t>NCAAM</t>
        </is>
      </c>
      <c r="B287" s="12" t="inlineStr">
        <is>
          <t>Binghamton</t>
        </is>
      </c>
      <c r="C287" s="12" t="inlineStr">
        <is>
          <t>NCAAM: Binghamton</t>
        </is>
      </c>
      <c r="D287" s="11">
        <f>IF(COUNTIF('Draft Board'!$B$3:$K$13,C287)&gt;0,"DRAFTED","")</f>
        <v/>
      </c>
    </row>
    <row r="288">
      <c r="A288" s="12" t="inlineStr">
        <is>
          <t>NCAAM</t>
        </is>
      </c>
      <c r="B288" s="12" t="inlineStr">
        <is>
          <t>Boise State</t>
        </is>
      </c>
      <c r="C288" s="12" t="inlineStr">
        <is>
          <t>NCAAM: Boise State</t>
        </is>
      </c>
      <c r="D288" s="11">
        <f>IF(COUNTIF('Draft Board'!$B$3:$K$13,C288)&gt;0,"DRAFTED","")</f>
        <v/>
      </c>
    </row>
    <row r="289">
      <c r="A289" s="12" t="inlineStr">
        <is>
          <t>NCAAM</t>
        </is>
      </c>
      <c r="B289" s="12" t="inlineStr">
        <is>
          <t>Boston College</t>
        </is>
      </c>
      <c r="C289" s="12" t="inlineStr">
        <is>
          <t>NCAAM: Boston College</t>
        </is>
      </c>
      <c r="D289" s="11">
        <f>IF(COUNTIF('Draft Board'!$B$3:$K$13,C289)&gt;0,"DRAFTED","")</f>
        <v/>
      </c>
    </row>
    <row r="290">
      <c r="A290" s="12" t="inlineStr">
        <is>
          <t>NCAAM</t>
        </is>
      </c>
      <c r="B290" s="12" t="inlineStr">
        <is>
          <t>Boston University</t>
        </is>
      </c>
      <c r="C290" s="12" t="inlineStr">
        <is>
          <t>NCAAM: Boston University</t>
        </is>
      </c>
      <c r="D290" s="11">
        <f>IF(COUNTIF('Draft Board'!$B$3:$K$13,C290)&gt;0,"DRAFTED","")</f>
        <v/>
      </c>
    </row>
    <row r="291">
      <c r="A291" s="12" t="inlineStr">
        <is>
          <t>NCAAM</t>
        </is>
      </c>
      <c r="B291" s="12" t="inlineStr">
        <is>
          <t>Bowling Green</t>
        </is>
      </c>
      <c r="C291" s="12" t="inlineStr">
        <is>
          <t>NCAAM: Bowling Green</t>
        </is>
      </c>
      <c r="D291" s="11">
        <f>IF(COUNTIF('Draft Board'!$B$3:$K$13,C291)&gt;0,"DRAFTED","")</f>
        <v/>
      </c>
    </row>
    <row r="292">
      <c r="A292" s="12" t="inlineStr">
        <is>
          <t>NCAAM</t>
        </is>
      </c>
      <c r="B292" s="12" t="inlineStr">
        <is>
          <t>Bradley</t>
        </is>
      </c>
      <c r="C292" s="12" t="inlineStr">
        <is>
          <t>NCAAM: Bradley</t>
        </is>
      </c>
      <c r="D292" s="11">
        <f>IF(COUNTIF('Draft Board'!$B$3:$K$13,C292)&gt;0,"DRAFTED","")</f>
        <v/>
      </c>
    </row>
    <row r="293">
      <c r="A293" s="12" t="inlineStr">
        <is>
          <t>NCAAM</t>
        </is>
      </c>
      <c r="B293" s="12" t="inlineStr">
        <is>
          <t>Brown</t>
        </is>
      </c>
      <c r="C293" s="12" t="inlineStr">
        <is>
          <t>NCAAM: Brown</t>
        </is>
      </c>
      <c r="D293" s="11">
        <f>IF(COUNTIF('Draft Board'!$B$3:$K$13,C293)&gt;0,"DRAFTED","")</f>
        <v/>
      </c>
    </row>
    <row r="294">
      <c r="A294" s="12" t="inlineStr">
        <is>
          <t>NCAAM</t>
        </is>
      </c>
      <c r="B294" s="12" t="inlineStr">
        <is>
          <t>Bryant</t>
        </is>
      </c>
      <c r="C294" s="12" t="inlineStr">
        <is>
          <t>NCAAM: Bryant</t>
        </is>
      </c>
      <c r="D294" s="11">
        <f>IF(COUNTIF('Draft Board'!$B$3:$K$13,C294)&gt;0,"DRAFTED","")</f>
        <v/>
      </c>
    </row>
    <row r="295">
      <c r="A295" s="12" t="inlineStr">
        <is>
          <t>NCAAM</t>
        </is>
      </c>
      <c r="B295" s="12" t="inlineStr">
        <is>
          <t>Bucknell</t>
        </is>
      </c>
      <c r="C295" s="12" t="inlineStr">
        <is>
          <t>NCAAM: Bucknell</t>
        </is>
      </c>
      <c r="D295" s="11">
        <f>IF(COUNTIF('Draft Board'!$B$3:$K$13,C295)&gt;0,"DRAFTED","")</f>
        <v/>
      </c>
    </row>
    <row r="296">
      <c r="A296" s="12" t="inlineStr">
        <is>
          <t>NCAAM</t>
        </is>
      </c>
      <c r="B296" s="12" t="inlineStr">
        <is>
          <t>Buffalo</t>
        </is>
      </c>
      <c r="C296" s="12" t="inlineStr">
        <is>
          <t>NCAAM: Buffalo</t>
        </is>
      </c>
      <c r="D296" s="11">
        <f>IF(COUNTIF('Draft Board'!$B$3:$K$13,C296)&gt;0,"DRAFTED","")</f>
        <v/>
      </c>
    </row>
    <row r="297">
      <c r="A297" s="12" t="inlineStr">
        <is>
          <t>NCAAM</t>
        </is>
      </c>
      <c r="B297" s="12" t="inlineStr">
        <is>
          <t>Butler</t>
        </is>
      </c>
      <c r="C297" s="12" t="inlineStr">
        <is>
          <t>NCAAM: Butler</t>
        </is>
      </c>
      <c r="D297" s="11">
        <f>IF(COUNTIF('Draft Board'!$B$3:$K$13,C297)&gt;0,"DRAFTED","")</f>
        <v/>
      </c>
    </row>
    <row r="298">
      <c r="A298" s="12" t="inlineStr">
        <is>
          <t>NCAAM</t>
        </is>
      </c>
      <c r="B298" s="12" t="inlineStr">
        <is>
          <t>BYU</t>
        </is>
      </c>
      <c r="C298" s="12" t="inlineStr">
        <is>
          <t>NCAAM: BYU</t>
        </is>
      </c>
      <c r="D298" s="11">
        <f>IF(COUNTIF('Draft Board'!$B$3:$K$13,C298)&gt;0,"DRAFTED","")</f>
        <v/>
      </c>
    </row>
    <row r="299">
      <c r="A299" s="12" t="inlineStr">
        <is>
          <t>NCAAM</t>
        </is>
      </c>
      <c r="B299" s="12" t="inlineStr">
        <is>
          <t>Cal Poly</t>
        </is>
      </c>
      <c r="C299" s="12" t="inlineStr">
        <is>
          <t>NCAAM: Cal Poly</t>
        </is>
      </c>
      <c r="D299" s="11">
        <f>IF(COUNTIF('Draft Board'!$B$3:$K$13,C299)&gt;0,"DRAFTED","")</f>
        <v/>
      </c>
    </row>
    <row r="300">
      <c r="A300" s="12" t="inlineStr">
        <is>
          <t>NCAAM</t>
        </is>
      </c>
      <c r="B300" s="12" t="inlineStr">
        <is>
          <t>Cal State Bakersfield</t>
        </is>
      </c>
      <c r="C300" s="12" t="inlineStr">
        <is>
          <t>NCAAM: Cal State Bakersfield</t>
        </is>
      </c>
      <c r="D300" s="11">
        <f>IF(COUNTIF('Draft Board'!$B$3:$K$13,C300)&gt;0,"DRAFTED","")</f>
        <v/>
      </c>
    </row>
    <row r="301">
      <c r="A301" s="12" t="inlineStr">
        <is>
          <t>NCAAM</t>
        </is>
      </c>
      <c r="B301" s="12" t="inlineStr">
        <is>
          <t>Cal State Fullerton</t>
        </is>
      </c>
      <c r="C301" s="12" t="inlineStr">
        <is>
          <t>NCAAM: Cal State Fullerton</t>
        </is>
      </c>
      <c r="D301" s="11">
        <f>IF(COUNTIF('Draft Board'!$B$3:$K$13,C301)&gt;0,"DRAFTED","")</f>
        <v/>
      </c>
    </row>
    <row r="302">
      <c r="A302" s="12" t="inlineStr">
        <is>
          <t>NCAAM</t>
        </is>
      </c>
      <c r="B302" s="12" t="inlineStr">
        <is>
          <t>Cal State Northridge</t>
        </is>
      </c>
      <c r="C302" s="12" t="inlineStr">
        <is>
          <t>NCAAM: Cal State Northridge</t>
        </is>
      </c>
      <c r="D302" s="11">
        <f>IF(COUNTIF('Draft Board'!$B$3:$K$13,C302)&gt;0,"DRAFTED","")</f>
        <v/>
      </c>
    </row>
    <row r="303">
      <c r="A303" s="12" t="inlineStr">
        <is>
          <t>NCAAM</t>
        </is>
      </c>
      <c r="B303" s="12" t="inlineStr">
        <is>
          <t>California</t>
        </is>
      </c>
      <c r="C303" s="12" t="inlineStr">
        <is>
          <t>NCAAM: California</t>
        </is>
      </c>
      <c r="D303" s="11">
        <f>IF(COUNTIF('Draft Board'!$B$3:$K$13,C303)&gt;0,"DRAFTED","")</f>
        <v/>
      </c>
    </row>
    <row r="304">
      <c r="A304" s="12" t="inlineStr">
        <is>
          <t>NCAAM</t>
        </is>
      </c>
      <c r="B304" s="12" t="inlineStr">
        <is>
          <t>California Baptist</t>
        </is>
      </c>
      <c r="C304" s="12" t="inlineStr">
        <is>
          <t>NCAAM: California Baptist</t>
        </is>
      </c>
      <c r="D304" s="11">
        <f>IF(COUNTIF('Draft Board'!$B$3:$K$13,C304)&gt;0,"DRAFTED","")</f>
        <v/>
      </c>
    </row>
    <row r="305">
      <c r="A305" s="12" t="inlineStr">
        <is>
          <t>NCAAM</t>
        </is>
      </c>
      <c r="B305" s="12" t="inlineStr">
        <is>
          <t>Campbell</t>
        </is>
      </c>
      <c r="C305" s="12" t="inlineStr">
        <is>
          <t>NCAAM: Campbell</t>
        </is>
      </c>
      <c r="D305" s="11">
        <f>IF(COUNTIF('Draft Board'!$B$3:$K$13,C305)&gt;0,"DRAFTED","")</f>
        <v/>
      </c>
    </row>
    <row r="306">
      <c r="A306" s="12" t="inlineStr">
        <is>
          <t>NCAAM</t>
        </is>
      </c>
      <c r="B306" s="12" t="inlineStr">
        <is>
          <t>Canisius</t>
        </is>
      </c>
      <c r="C306" s="12" t="inlineStr">
        <is>
          <t>NCAAM: Canisius</t>
        </is>
      </c>
      <c r="D306" s="11">
        <f>IF(COUNTIF('Draft Board'!$B$3:$K$13,C306)&gt;0,"DRAFTED","")</f>
        <v/>
      </c>
    </row>
    <row r="307">
      <c r="A307" s="12" t="inlineStr">
        <is>
          <t>NCAAM</t>
        </is>
      </c>
      <c r="B307" s="12" t="inlineStr">
        <is>
          <t>Central Arkansas</t>
        </is>
      </c>
      <c r="C307" s="12" t="inlineStr">
        <is>
          <t>NCAAM: Central Arkansas</t>
        </is>
      </c>
      <c r="D307" s="11">
        <f>IF(COUNTIF('Draft Board'!$B$3:$K$13,C307)&gt;0,"DRAFTED","")</f>
        <v/>
      </c>
    </row>
    <row r="308">
      <c r="A308" s="12" t="inlineStr">
        <is>
          <t>NCAAM</t>
        </is>
      </c>
      <c r="B308" s="12" t="inlineStr">
        <is>
          <t>Central Connecticut</t>
        </is>
      </c>
      <c r="C308" s="12" t="inlineStr">
        <is>
          <t>NCAAM: Central Connecticut</t>
        </is>
      </c>
      <c r="D308" s="11">
        <f>IF(COUNTIF('Draft Board'!$B$3:$K$13,C308)&gt;0,"DRAFTED","")</f>
        <v/>
      </c>
    </row>
    <row r="309">
      <c r="A309" s="12" t="inlineStr">
        <is>
          <t>NCAAM</t>
        </is>
      </c>
      <c r="B309" s="12" t="inlineStr">
        <is>
          <t>Central Michigan</t>
        </is>
      </c>
      <c r="C309" s="12" t="inlineStr">
        <is>
          <t>NCAAM: Central Michigan</t>
        </is>
      </c>
      <c r="D309" s="11">
        <f>IF(COUNTIF('Draft Board'!$B$3:$K$13,C309)&gt;0,"DRAFTED","")</f>
        <v/>
      </c>
    </row>
    <row r="310">
      <c r="A310" s="12" t="inlineStr">
        <is>
          <t>NCAAM</t>
        </is>
      </c>
      <c r="B310" s="12" t="inlineStr">
        <is>
          <t>Charleston</t>
        </is>
      </c>
      <c r="C310" s="12" t="inlineStr">
        <is>
          <t>NCAAM: Charleston</t>
        </is>
      </c>
      <c r="D310" s="11">
        <f>IF(COUNTIF('Draft Board'!$B$3:$K$13,C310)&gt;0,"DRAFTED","")</f>
        <v/>
      </c>
    </row>
    <row r="311">
      <c r="A311" s="12" t="inlineStr">
        <is>
          <t>NCAAM</t>
        </is>
      </c>
      <c r="B311" s="12" t="inlineStr">
        <is>
          <t>Charleston Southern</t>
        </is>
      </c>
      <c r="C311" s="12" t="inlineStr">
        <is>
          <t>NCAAM: Charleston Southern</t>
        </is>
      </c>
      <c r="D311" s="11">
        <f>IF(COUNTIF('Draft Board'!$B$3:$K$13,C311)&gt;0,"DRAFTED","")</f>
        <v/>
      </c>
    </row>
    <row r="312">
      <c r="A312" s="12" t="inlineStr">
        <is>
          <t>NCAAM</t>
        </is>
      </c>
      <c r="B312" s="12" t="inlineStr">
        <is>
          <t>Charlotte</t>
        </is>
      </c>
      <c r="C312" s="12" t="inlineStr">
        <is>
          <t>NCAAM: Charlotte</t>
        </is>
      </c>
      <c r="D312" s="11">
        <f>IF(COUNTIF('Draft Board'!$B$3:$K$13,C312)&gt;0,"DRAFTED","")</f>
        <v/>
      </c>
    </row>
    <row r="313">
      <c r="A313" s="12" t="inlineStr">
        <is>
          <t>NCAAM</t>
        </is>
      </c>
      <c r="B313" s="12" t="inlineStr">
        <is>
          <t>Chattanooga</t>
        </is>
      </c>
      <c r="C313" s="12" t="inlineStr">
        <is>
          <t>NCAAM: Chattanooga</t>
        </is>
      </c>
      <c r="D313" s="11">
        <f>IF(COUNTIF('Draft Board'!$B$3:$K$13,C313)&gt;0,"DRAFTED","")</f>
        <v/>
      </c>
    </row>
    <row r="314">
      <c r="A314" s="12" t="inlineStr">
        <is>
          <t>NCAAM</t>
        </is>
      </c>
      <c r="B314" s="12" t="inlineStr">
        <is>
          <t>Chicago State</t>
        </is>
      </c>
      <c r="C314" s="12" t="inlineStr">
        <is>
          <t>NCAAM: Chicago State</t>
        </is>
      </c>
      <c r="D314" s="11">
        <f>IF(COUNTIF('Draft Board'!$B$3:$K$13,C314)&gt;0,"DRAFTED","")</f>
        <v/>
      </c>
    </row>
    <row r="315">
      <c r="A315" s="12" t="inlineStr">
        <is>
          <t>NCAAM</t>
        </is>
      </c>
      <c r="B315" s="12" t="inlineStr">
        <is>
          <t>Cincinnati</t>
        </is>
      </c>
      <c r="C315" s="12" t="inlineStr">
        <is>
          <t>NCAAM: Cincinnati</t>
        </is>
      </c>
      <c r="D315" s="11">
        <f>IF(COUNTIF('Draft Board'!$B$3:$K$13,C315)&gt;0,"DRAFTED","")</f>
        <v/>
      </c>
    </row>
    <row r="316">
      <c r="A316" s="12" t="inlineStr">
        <is>
          <t>NCAAM</t>
        </is>
      </c>
      <c r="B316" s="12" t="inlineStr">
        <is>
          <t>The Citadel</t>
        </is>
      </c>
      <c r="C316" s="12" t="inlineStr">
        <is>
          <t>NCAAM: The Citadel</t>
        </is>
      </c>
      <c r="D316" s="11">
        <f>IF(COUNTIF('Draft Board'!$B$3:$K$13,C316)&gt;0,"DRAFTED","")</f>
        <v/>
      </c>
    </row>
    <row r="317">
      <c r="A317" s="12" t="inlineStr">
        <is>
          <t>NCAAM</t>
        </is>
      </c>
      <c r="B317" s="12" t="inlineStr">
        <is>
          <t>Clemson</t>
        </is>
      </c>
      <c r="C317" s="12" t="inlineStr">
        <is>
          <t>NCAAM: Clemson</t>
        </is>
      </c>
      <c r="D317" s="11">
        <f>IF(COUNTIF('Draft Board'!$B$3:$K$13,C317)&gt;0,"DRAFTED","")</f>
        <v/>
      </c>
    </row>
    <row r="318">
      <c r="A318" s="12" t="inlineStr">
        <is>
          <t>NCAAM</t>
        </is>
      </c>
      <c r="B318" s="12" t="inlineStr">
        <is>
          <t>Cleveland State</t>
        </is>
      </c>
      <c r="C318" s="12" t="inlineStr">
        <is>
          <t>NCAAM: Cleveland State</t>
        </is>
      </c>
      <c r="D318" s="11">
        <f>IF(COUNTIF('Draft Board'!$B$3:$K$13,C318)&gt;0,"DRAFTED","")</f>
        <v/>
      </c>
    </row>
    <row r="319">
      <c r="A319" s="12" t="inlineStr">
        <is>
          <t>NCAAM</t>
        </is>
      </c>
      <c r="B319" s="12" t="inlineStr">
        <is>
          <t>Coastal Carolina</t>
        </is>
      </c>
      <c r="C319" s="12" t="inlineStr">
        <is>
          <t>NCAAM: Coastal Carolina</t>
        </is>
      </c>
      <c r="D319" s="11">
        <f>IF(COUNTIF('Draft Board'!$B$3:$K$13,C319)&gt;0,"DRAFTED","")</f>
        <v/>
      </c>
    </row>
    <row r="320">
      <c r="A320" s="12" t="inlineStr">
        <is>
          <t>NCAAM</t>
        </is>
      </c>
      <c r="B320" s="12" t="inlineStr">
        <is>
          <t>Colgate</t>
        </is>
      </c>
      <c r="C320" s="12" t="inlineStr">
        <is>
          <t>NCAAM: Colgate</t>
        </is>
      </c>
      <c r="D320" s="11">
        <f>IF(COUNTIF('Draft Board'!$B$3:$K$13,C320)&gt;0,"DRAFTED","")</f>
        <v/>
      </c>
    </row>
    <row r="321">
      <c r="A321" s="12" t="inlineStr">
        <is>
          <t>NCAAM</t>
        </is>
      </c>
      <c r="B321" s="12" t="inlineStr">
        <is>
          <t>Colorado</t>
        </is>
      </c>
      <c r="C321" s="12" t="inlineStr">
        <is>
          <t>NCAAM: Colorado</t>
        </is>
      </c>
      <c r="D321" s="11">
        <f>IF(COUNTIF('Draft Board'!$B$3:$K$13,C321)&gt;0,"DRAFTED","")</f>
        <v/>
      </c>
    </row>
    <row r="322">
      <c r="A322" s="12" t="inlineStr">
        <is>
          <t>NCAAM</t>
        </is>
      </c>
      <c r="B322" s="12" t="inlineStr">
        <is>
          <t>Colorado State</t>
        </is>
      </c>
      <c r="C322" s="12" t="inlineStr">
        <is>
          <t>NCAAM: Colorado State</t>
        </is>
      </c>
      <c r="D322" s="11">
        <f>IF(COUNTIF('Draft Board'!$B$3:$K$13,C322)&gt;0,"DRAFTED","")</f>
        <v/>
      </c>
    </row>
    <row r="323">
      <c r="A323" s="12" t="inlineStr">
        <is>
          <t>NCAAM</t>
        </is>
      </c>
      <c r="B323" s="12" t="inlineStr">
        <is>
          <t>Columbia</t>
        </is>
      </c>
      <c r="C323" s="12" t="inlineStr">
        <is>
          <t>NCAAM: Columbia</t>
        </is>
      </c>
      <c r="D323" s="11">
        <f>IF(COUNTIF('Draft Board'!$B$3:$K$13,C323)&gt;0,"DRAFTED","")</f>
        <v/>
      </c>
    </row>
    <row r="324">
      <c r="A324" s="12" t="inlineStr">
        <is>
          <t>NCAAM</t>
        </is>
      </c>
      <c r="B324" s="12" t="inlineStr">
        <is>
          <t>Coppin State</t>
        </is>
      </c>
      <c r="C324" s="12" t="inlineStr">
        <is>
          <t>NCAAM: Coppin State</t>
        </is>
      </c>
      <c r="D324" s="11">
        <f>IF(COUNTIF('Draft Board'!$B$3:$K$13,C324)&gt;0,"DRAFTED","")</f>
        <v/>
      </c>
    </row>
    <row r="325">
      <c r="A325" s="12" t="inlineStr">
        <is>
          <t>NCAAM</t>
        </is>
      </c>
      <c r="B325" s="12" t="inlineStr">
        <is>
          <t>Cornell</t>
        </is>
      </c>
      <c r="C325" s="12" t="inlineStr">
        <is>
          <t>NCAAM: Cornell</t>
        </is>
      </c>
      <c r="D325" s="11">
        <f>IF(COUNTIF('Draft Board'!$B$3:$K$13,C325)&gt;0,"DRAFTED","")</f>
        <v/>
      </c>
    </row>
    <row r="326">
      <c r="A326" s="12" t="inlineStr">
        <is>
          <t>NCAAM</t>
        </is>
      </c>
      <c r="B326" s="12" t="inlineStr">
        <is>
          <t>Creighton</t>
        </is>
      </c>
      <c r="C326" s="12" t="inlineStr">
        <is>
          <t>NCAAM: Creighton</t>
        </is>
      </c>
      <c r="D326" s="11">
        <f>IF(COUNTIF('Draft Board'!$B$3:$K$13,C326)&gt;0,"DRAFTED","")</f>
        <v/>
      </c>
    </row>
    <row r="327">
      <c r="A327" s="12" t="inlineStr">
        <is>
          <t>NCAAM</t>
        </is>
      </c>
      <c r="B327" s="12" t="inlineStr">
        <is>
          <t>Dartmouth</t>
        </is>
      </c>
      <c r="C327" s="12" t="inlineStr">
        <is>
          <t>NCAAM: Dartmouth</t>
        </is>
      </c>
      <c r="D327" s="11">
        <f>IF(COUNTIF('Draft Board'!$B$3:$K$13,C327)&gt;0,"DRAFTED","")</f>
        <v/>
      </c>
    </row>
    <row r="328">
      <c r="A328" s="12" t="inlineStr">
        <is>
          <t>NCAAM</t>
        </is>
      </c>
      <c r="B328" s="12" t="inlineStr">
        <is>
          <t>Davidson</t>
        </is>
      </c>
      <c r="C328" s="12" t="inlineStr">
        <is>
          <t>NCAAM: Davidson</t>
        </is>
      </c>
      <c r="D328" s="11">
        <f>IF(COUNTIF('Draft Board'!$B$3:$K$13,C328)&gt;0,"DRAFTED","")</f>
        <v/>
      </c>
    </row>
    <row r="329">
      <c r="A329" s="12" t="inlineStr">
        <is>
          <t>NCAAM</t>
        </is>
      </c>
      <c r="B329" s="12" t="inlineStr">
        <is>
          <t>Dayton</t>
        </is>
      </c>
      <c r="C329" s="12" t="inlineStr">
        <is>
          <t>NCAAM: Dayton</t>
        </is>
      </c>
      <c r="D329" s="11">
        <f>IF(COUNTIF('Draft Board'!$B$3:$K$13,C329)&gt;0,"DRAFTED","")</f>
        <v/>
      </c>
    </row>
    <row r="330">
      <c r="A330" s="12" t="inlineStr">
        <is>
          <t>NCAAM</t>
        </is>
      </c>
      <c r="B330" s="12" t="inlineStr">
        <is>
          <t>Delaware</t>
        </is>
      </c>
      <c r="C330" s="12" t="inlineStr">
        <is>
          <t>NCAAM: Delaware</t>
        </is>
      </c>
      <c r="D330" s="11">
        <f>IF(COUNTIF('Draft Board'!$B$3:$K$13,C330)&gt;0,"DRAFTED","")</f>
        <v/>
      </c>
    </row>
    <row r="331">
      <c r="A331" s="12" t="inlineStr">
        <is>
          <t>NCAAM</t>
        </is>
      </c>
      <c r="B331" s="12" t="inlineStr">
        <is>
          <t>Delaware State</t>
        </is>
      </c>
      <c r="C331" s="12" t="inlineStr">
        <is>
          <t>NCAAM: Delaware State</t>
        </is>
      </c>
      <c r="D331" s="11">
        <f>IF(COUNTIF('Draft Board'!$B$3:$K$13,C331)&gt;0,"DRAFTED","")</f>
        <v/>
      </c>
    </row>
    <row r="332">
      <c r="A332" s="12" t="inlineStr">
        <is>
          <t>NCAAM</t>
        </is>
      </c>
      <c r="B332" s="12" t="inlineStr">
        <is>
          <t>Denver</t>
        </is>
      </c>
      <c r="C332" s="12" t="inlineStr">
        <is>
          <t>NCAAM: Denver</t>
        </is>
      </c>
      <c r="D332" s="11">
        <f>IF(COUNTIF('Draft Board'!$B$3:$K$13,C332)&gt;0,"DRAFTED","")</f>
        <v/>
      </c>
    </row>
    <row r="333">
      <c r="A333" s="12" t="inlineStr">
        <is>
          <t>NCAAM</t>
        </is>
      </c>
      <c r="B333" s="12" t="inlineStr">
        <is>
          <t>DePaul</t>
        </is>
      </c>
      <c r="C333" s="12" t="inlineStr">
        <is>
          <t>NCAAM: DePaul</t>
        </is>
      </c>
      <c r="D333" s="11">
        <f>IF(COUNTIF('Draft Board'!$B$3:$K$13,C333)&gt;0,"DRAFTED","")</f>
        <v/>
      </c>
    </row>
    <row r="334">
      <c r="A334" s="12" t="inlineStr">
        <is>
          <t>NCAAM</t>
        </is>
      </c>
      <c r="B334" s="12" t="inlineStr">
        <is>
          <t>Detroit Mercy</t>
        </is>
      </c>
      <c r="C334" s="12" t="inlineStr">
        <is>
          <t>NCAAM: Detroit Mercy</t>
        </is>
      </c>
      <c r="D334" s="11">
        <f>IF(COUNTIF('Draft Board'!$B$3:$K$13,C334)&gt;0,"DRAFTED","")</f>
        <v/>
      </c>
    </row>
    <row r="335">
      <c r="A335" s="12" t="inlineStr">
        <is>
          <t>NCAAM</t>
        </is>
      </c>
      <c r="B335" s="12" t="inlineStr">
        <is>
          <t>Drake</t>
        </is>
      </c>
      <c r="C335" s="12" t="inlineStr">
        <is>
          <t>NCAAM: Drake</t>
        </is>
      </c>
      <c r="D335" s="11">
        <f>IF(COUNTIF('Draft Board'!$B$3:$K$13,C335)&gt;0,"DRAFTED","")</f>
        <v/>
      </c>
    </row>
    <row r="336">
      <c r="A336" s="12" t="inlineStr">
        <is>
          <t>NCAAM</t>
        </is>
      </c>
      <c r="B336" s="12" t="inlineStr">
        <is>
          <t>Drexel</t>
        </is>
      </c>
      <c r="C336" s="12" t="inlineStr">
        <is>
          <t>NCAAM: Drexel</t>
        </is>
      </c>
      <c r="D336" s="11">
        <f>IF(COUNTIF('Draft Board'!$B$3:$K$13,C336)&gt;0,"DRAFTED","")</f>
        <v/>
      </c>
    </row>
    <row r="337">
      <c r="A337" s="12" t="inlineStr">
        <is>
          <t>NCAAM</t>
        </is>
      </c>
      <c r="B337" s="12" t="inlineStr">
        <is>
          <t>Duke</t>
        </is>
      </c>
      <c r="C337" s="12" t="inlineStr">
        <is>
          <t>NCAAM: Duke</t>
        </is>
      </c>
      <c r="D337" s="11">
        <f>IF(COUNTIF('Draft Board'!$B$3:$K$13,C337)&gt;0,"DRAFTED","")</f>
        <v/>
      </c>
    </row>
    <row r="338">
      <c r="A338" s="12" t="inlineStr">
        <is>
          <t>NCAAM</t>
        </is>
      </c>
      <c r="B338" s="12" t="inlineStr">
        <is>
          <t>Duquesne</t>
        </is>
      </c>
      <c r="C338" s="12" t="inlineStr">
        <is>
          <t>NCAAM: Duquesne</t>
        </is>
      </c>
      <c r="D338" s="11">
        <f>IF(COUNTIF('Draft Board'!$B$3:$K$13,C338)&gt;0,"DRAFTED","")</f>
        <v/>
      </c>
    </row>
    <row r="339">
      <c r="A339" s="12" t="inlineStr">
        <is>
          <t>NCAAM</t>
        </is>
      </c>
      <c r="B339" s="12" t="inlineStr">
        <is>
          <t>East Carolina</t>
        </is>
      </c>
      <c r="C339" s="12" t="inlineStr">
        <is>
          <t>NCAAM: East Carolina</t>
        </is>
      </c>
      <c r="D339" s="11">
        <f>IF(COUNTIF('Draft Board'!$B$3:$K$13,C339)&gt;0,"DRAFTED","")</f>
        <v/>
      </c>
    </row>
    <row r="340">
      <c r="A340" s="12" t="inlineStr">
        <is>
          <t>NCAAM</t>
        </is>
      </c>
      <c r="B340" s="12" t="inlineStr">
        <is>
          <t>East Tennessee State</t>
        </is>
      </c>
      <c r="C340" s="12" t="inlineStr">
        <is>
          <t>NCAAM: East Tennessee State</t>
        </is>
      </c>
      <c r="D340" s="11">
        <f>IF(COUNTIF('Draft Board'!$B$3:$K$13,C340)&gt;0,"DRAFTED","")</f>
        <v/>
      </c>
    </row>
    <row r="341">
      <c r="A341" s="12" t="inlineStr">
        <is>
          <t>NCAAM</t>
        </is>
      </c>
      <c r="B341" s="12" t="inlineStr">
        <is>
          <t>East Texas A&amp;M</t>
        </is>
      </c>
      <c r="C341" s="12" t="inlineStr">
        <is>
          <t>NCAAM: East Texas A&amp;M</t>
        </is>
      </c>
      <c r="D341" s="11">
        <f>IF(COUNTIF('Draft Board'!$B$3:$K$13,C341)&gt;0,"DRAFTED","")</f>
        <v/>
      </c>
    </row>
    <row r="342">
      <c r="A342" s="12" t="inlineStr">
        <is>
          <t>NCAAM</t>
        </is>
      </c>
      <c r="B342" s="12" t="inlineStr">
        <is>
          <t>Eastern Illinois</t>
        </is>
      </c>
      <c r="C342" s="12" t="inlineStr">
        <is>
          <t>NCAAM: Eastern Illinois</t>
        </is>
      </c>
      <c r="D342" s="11">
        <f>IF(COUNTIF('Draft Board'!$B$3:$K$13,C342)&gt;0,"DRAFTED","")</f>
        <v/>
      </c>
    </row>
    <row r="343">
      <c r="A343" s="12" t="inlineStr">
        <is>
          <t>NCAAM</t>
        </is>
      </c>
      <c r="B343" s="12" t="inlineStr">
        <is>
          <t>Eastern Kentucky</t>
        </is>
      </c>
      <c r="C343" s="12" t="inlineStr">
        <is>
          <t>NCAAM: Eastern Kentucky</t>
        </is>
      </c>
      <c r="D343" s="11">
        <f>IF(COUNTIF('Draft Board'!$B$3:$K$13,C343)&gt;0,"DRAFTED","")</f>
        <v/>
      </c>
    </row>
    <row r="344">
      <c r="A344" s="12" t="inlineStr">
        <is>
          <t>NCAAM</t>
        </is>
      </c>
      <c r="B344" s="12" t="inlineStr">
        <is>
          <t>Eastern Michigan</t>
        </is>
      </c>
      <c r="C344" s="12" t="inlineStr">
        <is>
          <t>NCAAM: Eastern Michigan</t>
        </is>
      </c>
      <c r="D344" s="11">
        <f>IF(COUNTIF('Draft Board'!$B$3:$K$13,C344)&gt;0,"DRAFTED","")</f>
        <v/>
      </c>
    </row>
    <row r="345">
      <c r="A345" s="12" t="inlineStr">
        <is>
          <t>NCAAM</t>
        </is>
      </c>
      <c r="B345" s="12" t="inlineStr">
        <is>
          <t>Eastern Washington</t>
        </is>
      </c>
      <c r="C345" s="12" t="inlineStr">
        <is>
          <t>NCAAM: Eastern Washington</t>
        </is>
      </c>
      <c r="D345" s="11">
        <f>IF(COUNTIF('Draft Board'!$B$3:$K$13,C345)&gt;0,"DRAFTED","")</f>
        <v/>
      </c>
    </row>
    <row r="346">
      <c r="A346" s="12" t="inlineStr">
        <is>
          <t>NCAAM</t>
        </is>
      </c>
      <c r="B346" s="12" t="inlineStr">
        <is>
          <t>Elon</t>
        </is>
      </c>
      <c r="C346" s="12" t="inlineStr">
        <is>
          <t>NCAAM: Elon</t>
        </is>
      </c>
      <c r="D346" s="11">
        <f>IF(COUNTIF('Draft Board'!$B$3:$K$13,C346)&gt;0,"DRAFTED","")</f>
        <v/>
      </c>
    </row>
    <row r="347">
      <c r="A347" s="12" t="inlineStr">
        <is>
          <t>NCAAM</t>
        </is>
      </c>
      <c r="B347" s="12" t="inlineStr">
        <is>
          <t>Evansville</t>
        </is>
      </c>
      <c r="C347" s="12" t="inlineStr">
        <is>
          <t>NCAAM: Evansville</t>
        </is>
      </c>
      <c r="D347" s="11">
        <f>IF(COUNTIF('Draft Board'!$B$3:$K$13,C347)&gt;0,"DRAFTED","")</f>
        <v/>
      </c>
    </row>
    <row r="348">
      <c r="A348" s="12" t="inlineStr">
        <is>
          <t>NCAAM</t>
        </is>
      </c>
      <c r="B348" s="12" t="inlineStr">
        <is>
          <t>Fairfield</t>
        </is>
      </c>
      <c r="C348" s="12" t="inlineStr">
        <is>
          <t>NCAAM: Fairfield</t>
        </is>
      </c>
      <c r="D348" s="11">
        <f>IF(COUNTIF('Draft Board'!$B$3:$K$13,C348)&gt;0,"DRAFTED","")</f>
        <v/>
      </c>
    </row>
    <row r="349">
      <c r="A349" s="12" t="inlineStr">
        <is>
          <t>NCAAM</t>
        </is>
      </c>
      <c r="B349" s="12" t="inlineStr">
        <is>
          <t>Fairleigh Dickinson</t>
        </is>
      </c>
      <c r="C349" s="12" t="inlineStr">
        <is>
          <t>NCAAM: Fairleigh Dickinson</t>
        </is>
      </c>
      <c r="D349" s="11">
        <f>IF(COUNTIF('Draft Board'!$B$3:$K$13,C349)&gt;0,"DRAFTED","")</f>
        <v/>
      </c>
    </row>
    <row r="350">
      <c r="A350" s="12" t="inlineStr">
        <is>
          <t>NCAAM</t>
        </is>
      </c>
      <c r="B350" s="12" t="inlineStr">
        <is>
          <t>FIU</t>
        </is>
      </c>
      <c r="C350" s="12" t="inlineStr">
        <is>
          <t>NCAAM: FIU</t>
        </is>
      </c>
      <c r="D350" s="11">
        <f>IF(COUNTIF('Draft Board'!$B$3:$K$13,C350)&gt;0,"DRAFTED","")</f>
        <v/>
      </c>
    </row>
    <row r="351">
      <c r="A351" s="12" t="inlineStr">
        <is>
          <t>NCAAM</t>
        </is>
      </c>
      <c r="B351" s="12" t="inlineStr">
        <is>
          <t>Florida</t>
        </is>
      </c>
      <c r="C351" s="12" t="inlineStr">
        <is>
          <t>NCAAM: Florida</t>
        </is>
      </c>
      <c r="D351" s="11">
        <f>IF(COUNTIF('Draft Board'!$B$3:$K$13,C351)&gt;0,"DRAFTED","")</f>
        <v/>
      </c>
    </row>
    <row r="352">
      <c r="A352" s="12" t="inlineStr">
        <is>
          <t>NCAAM</t>
        </is>
      </c>
      <c r="B352" s="12" t="inlineStr">
        <is>
          <t>Florida A&amp;M</t>
        </is>
      </c>
      <c r="C352" s="12" t="inlineStr">
        <is>
          <t>NCAAM: Florida A&amp;M</t>
        </is>
      </c>
      <c r="D352" s="11">
        <f>IF(COUNTIF('Draft Board'!$B$3:$K$13,C352)&gt;0,"DRAFTED","")</f>
        <v/>
      </c>
    </row>
    <row r="353">
      <c r="A353" s="12" t="inlineStr">
        <is>
          <t>NCAAM</t>
        </is>
      </c>
      <c r="B353" s="12" t="inlineStr">
        <is>
          <t>Florida Atlantic</t>
        </is>
      </c>
      <c r="C353" s="12" t="inlineStr">
        <is>
          <t>NCAAM: Florida Atlantic</t>
        </is>
      </c>
      <c r="D353" s="11">
        <f>IF(COUNTIF('Draft Board'!$B$3:$K$13,C353)&gt;0,"DRAFTED","")</f>
        <v/>
      </c>
    </row>
    <row r="354">
      <c r="A354" s="12" t="inlineStr">
        <is>
          <t>NCAAM</t>
        </is>
      </c>
      <c r="B354" s="12" t="inlineStr">
        <is>
          <t>Florida Gulf Coast</t>
        </is>
      </c>
      <c r="C354" s="12" t="inlineStr">
        <is>
          <t>NCAAM: Florida Gulf Coast</t>
        </is>
      </c>
      <c r="D354" s="11">
        <f>IF(COUNTIF('Draft Board'!$B$3:$K$13,C354)&gt;0,"DRAFTED","")</f>
        <v/>
      </c>
    </row>
    <row r="355">
      <c r="A355" s="12" t="inlineStr">
        <is>
          <t>NCAAM</t>
        </is>
      </c>
      <c r="B355" s="12" t="inlineStr">
        <is>
          <t>Florida State</t>
        </is>
      </c>
      <c r="C355" s="12" t="inlineStr">
        <is>
          <t>NCAAM: Florida State</t>
        </is>
      </c>
      <c r="D355" s="11">
        <f>IF(COUNTIF('Draft Board'!$B$3:$K$13,C355)&gt;0,"DRAFTED","")</f>
        <v/>
      </c>
    </row>
    <row r="356">
      <c r="A356" s="12" t="inlineStr">
        <is>
          <t>NCAAM</t>
        </is>
      </c>
      <c r="B356" s="12" t="inlineStr">
        <is>
          <t>Fordham</t>
        </is>
      </c>
      <c r="C356" s="12" t="inlineStr">
        <is>
          <t>NCAAM: Fordham</t>
        </is>
      </c>
      <c r="D356" s="11">
        <f>IF(COUNTIF('Draft Board'!$B$3:$K$13,C356)&gt;0,"DRAFTED","")</f>
        <v/>
      </c>
    </row>
    <row r="357">
      <c r="A357" s="12" t="inlineStr">
        <is>
          <t>NCAAM</t>
        </is>
      </c>
      <c r="B357" s="12" t="inlineStr">
        <is>
          <t>Fresno State</t>
        </is>
      </c>
      <c r="C357" s="12" t="inlineStr">
        <is>
          <t>NCAAM: Fresno State</t>
        </is>
      </c>
      <c r="D357" s="11">
        <f>IF(COUNTIF('Draft Board'!$B$3:$K$13,C357)&gt;0,"DRAFTED","")</f>
        <v/>
      </c>
    </row>
    <row r="358">
      <c r="A358" s="12" t="inlineStr">
        <is>
          <t>NCAAM</t>
        </is>
      </c>
      <c r="B358" s="12" t="inlineStr">
        <is>
          <t>Furman</t>
        </is>
      </c>
      <c r="C358" s="12" t="inlineStr">
        <is>
          <t>NCAAM: Furman</t>
        </is>
      </c>
      <c r="D358" s="11">
        <f>IF(COUNTIF('Draft Board'!$B$3:$K$13,C358)&gt;0,"DRAFTED","")</f>
        <v/>
      </c>
    </row>
    <row r="359">
      <c r="A359" s="12" t="inlineStr">
        <is>
          <t>NCAAM</t>
        </is>
      </c>
      <c r="B359" s="12" t="inlineStr">
        <is>
          <t>Gardner-Webb</t>
        </is>
      </c>
      <c r="C359" s="12" t="inlineStr">
        <is>
          <t>NCAAM: Gardner-Webb</t>
        </is>
      </c>
      <c r="D359" s="11">
        <f>IF(COUNTIF('Draft Board'!$B$3:$K$13,C359)&gt;0,"DRAFTED","")</f>
        <v/>
      </c>
    </row>
    <row r="360">
      <c r="A360" s="12" t="inlineStr">
        <is>
          <t>NCAAM</t>
        </is>
      </c>
      <c r="B360" s="12" t="inlineStr">
        <is>
          <t>George Mason</t>
        </is>
      </c>
      <c r="C360" s="12" t="inlineStr">
        <is>
          <t>NCAAM: George Mason</t>
        </is>
      </c>
      <c r="D360" s="11">
        <f>IF(COUNTIF('Draft Board'!$B$3:$K$13,C360)&gt;0,"DRAFTED","")</f>
        <v/>
      </c>
    </row>
    <row r="361">
      <c r="A361" s="12" t="inlineStr">
        <is>
          <t>NCAAM</t>
        </is>
      </c>
      <c r="B361" s="12" t="inlineStr">
        <is>
          <t>George Washington</t>
        </is>
      </c>
      <c r="C361" s="12" t="inlineStr">
        <is>
          <t>NCAAM: George Washington</t>
        </is>
      </c>
      <c r="D361" s="11">
        <f>IF(COUNTIF('Draft Board'!$B$3:$K$13,C361)&gt;0,"DRAFTED","")</f>
        <v/>
      </c>
    </row>
    <row r="362">
      <c r="A362" s="12" t="inlineStr">
        <is>
          <t>NCAAM</t>
        </is>
      </c>
      <c r="B362" s="12" t="inlineStr">
        <is>
          <t>Georgetown</t>
        </is>
      </c>
      <c r="C362" s="12" t="inlineStr">
        <is>
          <t>NCAAM: Georgetown</t>
        </is>
      </c>
      <c r="D362" s="11">
        <f>IF(COUNTIF('Draft Board'!$B$3:$K$13,C362)&gt;0,"DRAFTED","")</f>
        <v/>
      </c>
    </row>
    <row r="363">
      <c r="A363" s="12" t="inlineStr">
        <is>
          <t>NCAAM</t>
        </is>
      </c>
      <c r="B363" s="12" t="inlineStr">
        <is>
          <t>Georgia</t>
        </is>
      </c>
      <c r="C363" s="12" t="inlineStr">
        <is>
          <t>NCAAM: Georgia</t>
        </is>
      </c>
      <c r="D363" s="11">
        <f>IF(COUNTIF('Draft Board'!$B$3:$K$13,C363)&gt;0,"DRAFTED","")</f>
        <v/>
      </c>
    </row>
    <row r="364">
      <c r="A364" s="12" t="inlineStr">
        <is>
          <t>NCAAM</t>
        </is>
      </c>
      <c r="B364" s="12" t="inlineStr">
        <is>
          <t>Georgia Southern</t>
        </is>
      </c>
      <c r="C364" s="12" t="inlineStr">
        <is>
          <t>NCAAM: Georgia Southern</t>
        </is>
      </c>
      <c r="D364" s="11">
        <f>IF(COUNTIF('Draft Board'!$B$3:$K$13,C364)&gt;0,"DRAFTED","")</f>
        <v/>
      </c>
    </row>
    <row r="365">
      <c r="A365" s="12" t="inlineStr">
        <is>
          <t>NCAAM</t>
        </is>
      </c>
      <c r="B365" s="12" t="inlineStr">
        <is>
          <t>Georgia State</t>
        </is>
      </c>
      <c r="C365" s="12" t="inlineStr">
        <is>
          <t>NCAAM: Georgia State</t>
        </is>
      </c>
      <c r="D365" s="11">
        <f>IF(COUNTIF('Draft Board'!$B$3:$K$13,C365)&gt;0,"DRAFTED","")</f>
        <v/>
      </c>
    </row>
    <row r="366">
      <c r="A366" s="12" t="inlineStr">
        <is>
          <t>NCAAM</t>
        </is>
      </c>
      <c r="B366" s="12" t="inlineStr">
        <is>
          <t>Georgia Tech</t>
        </is>
      </c>
      <c r="C366" s="12" t="inlineStr">
        <is>
          <t>NCAAM: Georgia Tech</t>
        </is>
      </c>
      <c r="D366" s="11">
        <f>IF(COUNTIF('Draft Board'!$B$3:$K$13,C366)&gt;0,"DRAFTED","")</f>
        <v/>
      </c>
    </row>
    <row r="367">
      <c r="A367" s="12" t="inlineStr">
        <is>
          <t>NCAAM</t>
        </is>
      </c>
      <c r="B367" s="12" t="inlineStr">
        <is>
          <t>Gonzaga</t>
        </is>
      </c>
      <c r="C367" s="12" t="inlineStr">
        <is>
          <t>NCAAM: Gonzaga</t>
        </is>
      </c>
      <c r="D367" s="11">
        <f>IF(COUNTIF('Draft Board'!$B$3:$K$13,C367)&gt;0,"DRAFTED","")</f>
        <v/>
      </c>
    </row>
    <row r="368">
      <c r="A368" s="12" t="inlineStr">
        <is>
          <t>NCAAM</t>
        </is>
      </c>
      <c r="B368" s="12" t="inlineStr">
        <is>
          <t>Grambling State</t>
        </is>
      </c>
      <c r="C368" s="12" t="inlineStr">
        <is>
          <t>NCAAM: Grambling State</t>
        </is>
      </c>
      <c r="D368" s="11">
        <f>IF(COUNTIF('Draft Board'!$B$3:$K$13,C368)&gt;0,"DRAFTED","")</f>
        <v/>
      </c>
    </row>
    <row r="369">
      <c r="A369" s="12" t="inlineStr">
        <is>
          <t>NCAAM</t>
        </is>
      </c>
      <c r="B369" s="12" t="inlineStr">
        <is>
          <t>Grand Canyon</t>
        </is>
      </c>
      <c r="C369" s="12" t="inlineStr">
        <is>
          <t>NCAAM: Grand Canyon</t>
        </is>
      </c>
      <c r="D369" s="11">
        <f>IF(COUNTIF('Draft Board'!$B$3:$K$13,C369)&gt;0,"DRAFTED","")</f>
        <v/>
      </c>
    </row>
    <row r="370">
      <c r="A370" s="12" t="inlineStr">
        <is>
          <t>NCAAM</t>
        </is>
      </c>
      <c r="B370" s="12" t="inlineStr">
        <is>
          <t>Green Bay</t>
        </is>
      </c>
      <c r="C370" s="12" t="inlineStr">
        <is>
          <t>NCAAM: Green Bay</t>
        </is>
      </c>
      <c r="D370" s="11">
        <f>IF(COUNTIF('Draft Board'!$B$3:$K$13,C370)&gt;0,"DRAFTED","")</f>
        <v/>
      </c>
    </row>
    <row r="371">
      <c r="A371" s="12" t="inlineStr">
        <is>
          <t>NCAAM</t>
        </is>
      </c>
      <c r="B371" s="12" t="inlineStr">
        <is>
          <t>Hampton</t>
        </is>
      </c>
      <c r="C371" s="12" t="inlineStr">
        <is>
          <t>NCAAM: Hampton</t>
        </is>
      </c>
      <c r="D371" s="11">
        <f>IF(COUNTIF('Draft Board'!$B$3:$K$13,C371)&gt;0,"DRAFTED","")</f>
        <v/>
      </c>
    </row>
    <row r="372">
      <c r="A372" s="12" t="inlineStr">
        <is>
          <t>NCAAM</t>
        </is>
      </c>
      <c r="B372" s="12" t="inlineStr">
        <is>
          <t>Harvard</t>
        </is>
      </c>
      <c r="C372" s="12" t="inlineStr">
        <is>
          <t>NCAAM: Harvard</t>
        </is>
      </c>
      <c r="D372" s="11">
        <f>IF(COUNTIF('Draft Board'!$B$3:$K$13,C372)&gt;0,"DRAFTED","")</f>
        <v/>
      </c>
    </row>
    <row r="373">
      <c r="A373" s="12" t="inlineStr">
        <is>
          <t>NCAAM</t>
        </is>
      </c>
      <c r="B373" s="12" t="inlineStr">
        <is>
          <t>Hawaii</t>
        </is>
      </c>
      <c r="C373" s="12" t="inlineStr">
        <is>
          <t>NCAAM: Hawaii</t>
        </is>
      </c>
      <c r="D373" s="11">
        <f>IF(COUNTIF('Draft Board'!$B$3:$K$13,C373)&gt;0,"DRAFTED","")</f>
        <v/>
      </c>
    </row>
    <row r="374">
      <c r="A374" s="12" t="inlineStr">
        <is>
          <t>NCAAM</t>
        </is>
      </c>
      <c r="B374" s="12" t="inlineStr">
        <is>
          <t>High Point</t>
        </is>
      </c>
      <c r="C374" s="12" t="inlineStr">
        <is>
          <t>NCAAM: High Point</t>
        </is>
      </c>
      <c r="D374" s="11">
        <f>IF(COUNTIF('Draft Board'!$B$3:$K$13,C374)&gt;0,"DRAFTED","")</f>
        <v/>
      </c>
    </row>
    <row r="375">
      <c r="A375" s="12" t="inlineStr">
        <is>
          <t>NCAAM</t>
        </is>
      </c>
      <c r="B375" s="12" t="inlineStr">
        <is>
          <t>Hofstra</t>
        </is>
      </c>
      <c r="C375" s="12" t="inlineStr">
        <is>
          <t>NCAAM: Hofstra</t>
        </is>
      </c>
      <c r="D375" s="11">
        <f>IF(COUNTIF('Draft Board'!$B$3:$K$13,C375)&gt;0,"DRAFTED","")</f>
        <v/>
      </c>
    </row>
    <row r="376">
      <c r="A376" s="12" t="inlineStr">
        <is>
          <t>NCAAM</t>
        </is>
      </c>
      <c r="B376" s="12" t="inlineStr">
        <is>
          <t>Holy Cross</t>
        </is>
      </c>
      <c r="C376" s="12" t="inlineStr">
        <is>
          <t>NCAAM: Holy Cross</t>
        </is>
      </c>
      <c r="D376" s="11">
        <f>IF(COUNTIF('Draft Board'!$B$3:$K$13,C376)&gt;0,"DRAFTED","")</f>
        <v/>
      </c>
    </row>
    <row r="377">
      <c r="A377" s="12" t="inlineStr">
        <is>
          <t>NCAAM</t>
        </is>
      </c>
      <c r="B377" s="12" t="inlineStr">
        <is>
          <t>Houston</t>
        </is>
      </c>
      <c r="C377" s="12" t="inlineStr">
        <is>
          <t>NCAAM: Houston</t>
        </is>
      </c>
      <c r="D377" s="11">
        <f>IF(COUNTIF('Draft Board'!$B$3:$K$13,C377)&gt;0,"DRAFTED","")</f>
        <v/>
      </c>
    </row>
    <row r="378">
      <c r="A378" s="12" t="inlineStr">
        <is>
          <t>NCAAM</t>
        </is>
      </c>
      <c r="B378" s="12" t="inlineStr">
        <is>
          <t>Houston Christian</t>
        </is>
      </c>
      <c r="C378" s="12" t="inlineStr">
        <is>
          <t>NCAAM: Houston Christian</t>
        </is>
      </c>
      <c r="D378" s="11">
        <f>IF(COUNTIF('Draft Board'!$B$3:$K$13,C378)&gt;0,"DRAFTED","")</f>
        <v/>
      </c>
    </row>
    <row r="379">
      <c r="A379" s="12" t="inlineStr">
        <is>
          <t>NCAAM</t>
        </is>
      </c>
      <c r="B379" s="12" t="inlineStr">
        <is>
          <t>Howard</t>
        </is>
      </c>
      <c r="C379" s="12" t="inlineStr">
        <is>
          <t>NCAAM: Howard</t>
        </is>
      </c>
      <c r="D379" s="11">
        <f>IF(COUNTIF('Draft Board'!$B$3:$K$13,C379)&gt;0,"DRAFTED","")</f>
        <v/>
      </c>
    </row>
    <row r="380">
      <c r="A380" s="12" t="inlineStr">
        <is>
          <t>NCAAM</t>
        </is>
      </c>
      <c r="B380" s="12" t="inlineStr">
        <is>
          <t>Idaho</t>
        </is>
      </c>
      <c r="C380" s="12" t="inlineStr">
        <is>
          <t>NCAAM: Idaho</t>
        </is>
      </c>
      <c r="D380" s="11">
        <f>IF(COUNTIF('Draft Board'!$B$3:$K$13,C380)&gt;0,"DRAFTED","")</f>
        <v/>
      </c>
    </row>
    <row r="381">
      <c r="A381" s="12" t="inlineStr">
        <is>
          <t>NCAAM</t>
        </is>
      </c>
      <c r="B381" s="12" t="inlineStr">
        <is>
          <t>Idaho State</t>
        </is>
      </c>
      <c r="C381" s="12" t="inlineStr">
        <is>
          <t>NCAAM: Idaho State</t>
        </is>
      </c>
      <c r="D381" s="11">
        <f>IF(COUNTIF('Draft Board'!$B$3:$K$13,C381)&gt;0,"DRAFTED","")</f>
        <v/>
      </c>
    </row>
    <row r="382">
      <c r="A382" s="12" t="inlineStr">
        <is>
          <t>NCAAM</t>
        </is>
      </c>
      <c r="B382" s="12" t="inlineStr">
        <is>
          <t>Illinois</t>
        </is>
      </c>
      <c r="C382" s="12" t="inlineStr">
        <is>
          <t>NCAAM: Illinois</t>
        </is>
      </c>
      <c r="D382" s="11">
        <f>IF(COUNTIF('Draft Board'!$B$3:$K$13,C382)&gt;0,"DRAFTED","")</f>
        <v/>
      </c>
    </row>
    <row r="383">
      <c r="A383" s="12" t="inlineStr">
        <is>
          <t>NCAAM</t>
        </is>
      </c>
      <c r="B383" s="12" t="inlineStr">
        <is>
          <t>Illinois State</t>
        </is>
      </c>
      <c r="C383" s="12" t="inlineStr">
        <is>
          <t>NCAAM: Illinois State</t>
        </is>
      </c>
      <c r="D383" s="11">
        <f>IF(COUNTIF('Draft Board'!$B$3:$K$13,C383)&gt;0,"DRAFTED","")</f>
        <v/>
      </c>
    </row>
    <row r="384">
      <c r="A384" s="12" t="inlineStr">
        <is>
          <t>NCAAM</t>
        </is>
      </c>
      <c r="B384" s="12" t="inlineStr">
        <is>
          <t>Incarnate Word</t>
        </is>
      </c>
      <c r="C384" s="12" t="inlineStr">
        <is>
          <t>NCAAM: Incarnate Word</t>
        </is>
      </c>
      <c r="D384" s="11">
        <f>IF(COUNTIF('Draft Board'!$B$3:$K$13,C384)&gt;0,"DRAFTED","")</f>
        <v/>
      </c>
    </row>
    <row r="385">
      <c r="A385" s="12" t="inlineStr">
        <is>
          <t>NCAAM</t>
        </is>
      </c>
      <c r="B385" s="12" t="inlineStr">
        <is>
          <t>Indiana</t>
        </is>
      </c>
      <c r="C385" s="12" t="inlineStr">
        <is>
          <t>NCAAM: Indiana</t>
        </is>
      </c>
      <c r="D385" s="11">
        <f>IF(COUNTIF('Draft Board'!$B$3:$K$13,C385)&gt;0,"DRAFTED","")</f>
        <v/>
      </c>
    </row>
    <row r="386">
      <c r="A386" s="12" t="inlineStr">
        <is>
          <t>NCAAM</t>
        </is>
      </c>
      <c r="B386" s="12" t="inlineStr">
        <is>
          <t>Indiana State</t>
        </is>
      </c>
      <c r="C386" s="12" t="inlineStr">
        <is>
          <t>NCAAM: Indiana State</t>
        </is>
      </c>
      <c r="D386" s="11">
        <f>IF(COUNTIF('Draft Board'!$B$3:$K$13,C386)&gt;0,"DRAFTED","")</f>
        <v/>
      </c>
    </row>
    <row r="387">
      <c r="A387" s="12" t="inlineStr">
        <is>
          <t>NCAAM</t>
        </is>
      </c>
      <c r="B387" s="12" t="inlineStr">
        <is>
          <t>Iona</t>
        </is>
      </c>
      <c r="C387" s="12" t="inlineStr">
        <is>
          <t>NCAAM: Iona</t>
        </is>
      </c>
      <c r="D387" s="11">
        <f>IF(COUNTIF('Draft Board'!$B$3:$K$13,C387)&gt;0,"DRAFTED","")</f>
        <v/>
      </c>
    </row>
    <row r="388">
      <c r="A388" s="12" t="inlineStr">
        <is>
          <t>NCAAM</t>
        </is>
      </c>
      <c r="B388" s="12" t="inlineStr">
        <is>
          <t>Iowa</t>
        </is>
      </c>
      <c r="C388" s="12" t="inlineStr">
        <is>
          <t>NCAAM: Iowa</t>
        </is>
      </c>
      <c r="D388" s="11">
        <f>IF(COUNTIF('Draft Board'!$B$3:$K$13,C388)&gt;0,"DRAFTED","")</f>
        <v/>
      </c>
    </row>
    <row r="389">
      <c r="A389" s="12" t="inlineStr">
        <is>
          <t>NCAAM</t>
        </is>
      </c>
      <c r="B389" s="12" t="inlineStr">
        <is>
          <t>Iowa State</t>
        </is>
      </c>
      <c r="C389" s="12" t="inlineStr">
        <is>
          <t>NCAAM: Iowa State</t>
        </is>
      </c>
      <c r="D389" s="11">
        <f>IF(COUNTIF('Draft Board'!$B$3:$K$13,C389)&gt;0,"DRAFTED","")</f>
        <v/>
      </c>
    </row>
    <row r="390">
      <c r="A390" s="12" t="inlineStr">
        <is>
          <t>NCAAM</t>
        </is>
      </c>
      <c r="B390" s="12" t="inlineStr">
        <is>
          <t>IU Indianapolis</t>
        </is>
      </c>
      <c r="C390" s="12" t="inlineStr">
        <is>
          <t>NCAAM: IU Indianapolis</t>
        </is>
      </c>
      <c r="D390" s="11">
        <f>IF(COUNTIF('Draft Board'!$B$3:$K$13,C390)&gt;0,"DRAFTED","")</f>
        <v/>
      </c>
    </row>
    <row r="391">
      <c r="A391" s="12" t="inlineStr">
        <is>
          <t>NCAAM</t>
        </is>
      </c>
      <c r="B391" s="12" t="inlineStr">
        <is>
          <t>Jackson State</t>
        </is>
      </c>
      <c r="C391" s="12" t="inlineStr">
        <is>
          <t>NCAAM: Jackson State</t>
        </is>
      </c>
      <c r="D391" s="11">
        <f>IF(COUNTIF('Draft Board'!$B$3:$K$13,C391)&gt;0,"DRAFTED","")</f>
        <v/>
      </c>
    </row>
    <row r="392">
      <c r="A392" s="12" t="inlineStr">
        <is>
          <t>NCAAM</t>
        </is>
      </c>
      <c r="B392" s="12" t="inlineStr">
        <is>
          <t>Jacksonville</t>
        </is>
      </c>
      <c r="C392" s="12" t="inlineStr">
        <is>
          <t>NCAAM: Jacksonville</t>
        </is>
      </c>
      <c r="D392" s="11">
        <f>IF(COUNTIF('Draft Board'!$B$3:$K$13,C392)&gt;0,"DRAFTED","")</f>
        <v/>
      </c>
    </row>
    <row r="393">
      <c r="A393" s="12" t="inlineStr">
        <is>
          <t>NCAAM</t>
        </is>
      </c>
      <c r="B393" s="12" t="inlineStr">
        <is>
          <t>Jacksonville State</t>
        </is>
      </c>
      <c r="C393" s="12" t="inlineStr">
        <is>
          <t>NCAAM: Jacksonville State</t>
        </is>
      </c>
      <c r="D393" s="11">
        <f>IF(COUNTIF('Draft Board'!$B$3:$K$13,C393)&gt;0,"DRAFTED","")</f>
        <v/>
      </c>
    </row>
    <row r="394">
      <c r="A394" s="12" t="inlineStr">
        <is>
          <t>NCAAM</t>
        </is>
      </c>
      <c r="B394" s="12" t="inlineStr">
        <is>
          <t>James Madison</t>
        </is>
      </c>
      <c r="C394" s="12" t="inlineStr">
        <is>
          <t>NCAAM: James Madison</t>
        </is>
      </c>
      <c r="D394" s="11">
        <f>IF(COUNTIF('Draft Board'!$B$3:$K$13,C394)&gt;0,"DRAFTED","")</f>
        <v/>
      </c>
    </row>
    <row r="395">
      <c r="A395" s="12" t="inlineStr">
        <is>
          <t>NCAAM</t>
        </is>
      </c>
      <c r="B395" s="12" t="inlineStr">
        <is>
          <t>Kansas</t>
        </is>
      </c>
      <c r="C395" s="12" t="inlineStr">
        <is>
          <t>NCAAM: Kansas</t>
        </is>
      </c>
      <c r="D395" s="11">
        <f>IF(COUNTIF('Draft Board'!$B$3:$K$13,C395)&gt;0,"DRAFTED","")</f>
        <v/>
      </c>
    </row>
    <row r="396">
      <c r="A396" s="12" t="inlineStr">
        <is>
          <t>NCAAM</t>
        </is>
      </c>
      <c r="B396" s="12" t="inlineStr">
        <is>
          <t>Kansas City</t>
        </is>
      </c>
      <c r="C396" s="12" t="inlineStr">
        <is>
          <t>NCAAM: Kansas City</t>
        </is>
      </c>
      <c r="D396" s="11">
        <f>IF(COUNTIF('Draft Board'!$B$3:$K$13,C396)&gt;0,"DRAFTED","")</f>
        <v/>
      </c>
    </row>
    <row r="397">
      <c r="A397" s="12" t="inlineStr">
        <is>
          <t>NCAAM</t>
        </is>
      </c>
      <c r="B397" s="12" t="inlineStr">
        <is>
          <t>Kansas State</t>
        </is>
      </c>
      <c r="C397" s="12" t="inlineStr">
        <is>
          <t>NCAAM: Kansas State</t>
        </is>
      </c>
      <c r="D397" s="11">
        <f>IF(COUNTIF('Draft Board'!$B$3:$K$13,C397)&gt;0,"DRAFTED","")</f>
        <v/>
      </c>
    </row>
    <row r="398">
      <c r="A398" s="12" t="inlineStr">
        <is>
          <t>NCAAM</t>
        </is>
      </c>
      <c r="B398" s="12" t="inlineStr">
        <is>
          <t>Kennesaw State</t>
        </is>
      </c>
      <c r="C398" s="12" t="inlineStr">
        <is>
          <t>NCAAM: Kennesaw State</t>
        </is>
      </c>
      <c r="D398" s="11">
        <f>IF(COUNTIF('Draft Board'!$B$3:$K$13,C398)&gt;0,"DRAFTED","")</f>
        <v/>
      </c>
    </row>
    <row r="399">
      <c r="A399" s="12" t="inlineStr">
        <is>
          <t>NCAAM</t>
        </is>
      </c>
      <c r="B399" s="12" t="inlineStr">
        <is>
          <t>Kent State</t>
        </is>
      </c>
      <c r="C399" s="12" t="inlineStr">
        <is>
          <t>NCAAM: Kent State</t>
        </is>
      </c>
      <c r="D399" s="11">
        <f>IF(COUNTIF('Draft Board'!$B$3:$K$13,C399)&gt;0,"DRAFTED","")</f>
        <v/>
      </c>
    </row>
    <row r="400">
      <c r="A400" s="12" t="inlineStr">
        <is>
          <t>NCAAM</t>
        </is>
      </c>
      <c r="B400" s="12" t="inlineStr">
        <is>
          <t>Kentucky</t>
        </is>
      </c>
      <c r="C400" s="12" t="inlineStr">
        <is>
          <t>NCAAM: Kentucky</t>
        </is>
      </c>
      <c r="D400" s="11">
        <f>IF(COUNTIF('Draft Board'!$B$3:$K$13,C400)&gt;0,"DRAFTED","")</f>
        <v/>
      </c>
    </row>
    <row r="401">
      <c r="A401" s="12" t="inlineStr">
        <is>
          <t>NCAAM</t>
        </is>
      </c>
      <c r="B401" s="12" t="inlineStr">
        <is>
          <t>La Salle</t>
        </is>
      </c>
      <c r="C401" s="12" t="inlineStr">
        <is>
          <t>NCAAM: La Salle</t>
        </is>
      </c>
      <c r="D401" s="11">
        <f>IF(COUNTIF('Draft Board'!$B$3:$K$13,C401)&gt;0,"DRAFTED","")</f>
        <v/>
      </c>
    </row>
    <row r="402">
      <c r="A402" s="12" t="inlineStr">
        <is>
          <t>NCAAM</t>
        </is>
      </c>
      <c r="B402" s="12" t="inlineStr">
        <is>
          <t>Lafayette</t>
        </is>
      </c>
      <c r="C402" s="12" t="inlineStr">
        <is>
          <t>NCAAM: Lafayette</t>
        </is>
      </c>
      <c r="D402" s="11">
        <f>IF(COUNTIF('Draft Board'!$B$3:$K$13,C402)&gt;0,"DRAFTED","")</f>
        <v/>
      </c>
    </row>
    <row r="403">
      <c r="A403" s="12" t="inlineStr">
        <is>
          <t>NCAAM</t>
        </is>
      </c>
      <c r="B403" s="12" t="inlineStr">
        <is>
          <t>Lamar</t>
        </is>
      </c>
      <c r="C403" s="12" t="inlineStr">
        <is>
          <t>NCAAM: Lamar</t>
        </is>
      </c>
      <c r="D403" s="11">
        <f>IF(COUNTIF('Draft Board'!$B$3:$K$13,C403)&gt;0,"DRAFTED","")</f>
        <v/>
      </c>
    </row>
    <row r="404">
      <c r="A404" s="12" t="inlineStr">
        <is>
          <t>NCAAM</t>
        </is>
      </c>
      <c r="B404" s="12" t="inlineStr">
        <is>
          <t>Le Moyne</t>
        </is>
      </c>
      <c r="C404" s="12" t="inlineStr">
        <is>
          <t>NCAAM: Le Moyne</t>
        </is>
      </c>
      <c r="D404" s="11">
        <f>IF(COUNTIF('Draft Board'!$B$3:$K$13,C404)&gt;0,"DRAFTED","")</f>
        <v/>
      </c>
    </row>
    <row r="405">
      <c r="A405" s="12" t="inlineStr">
        <is>
          <t>NCAAM</t>
        </is>
      </c>
      <c r="B405" s="12" t="inlineStr">
        <is>
          <t>Lehigh</t>
        </is>
      </c>
      <c r="C405" s="12" t="inlineStr">
        <is>
          <t>NCAAM: Lehigh</t>
        </is>
      </c>
      <c r="D405" s="11">
        <f>IF(COUNTIF('Draft Board'!$B$3:$K$13,C405)&gt;0,"DRAFTED","")</f>
        <v/>
      </c>
    </row>
    <row r="406">
      <c r="A406" s="12" t="inlineStr">
        <is>
          <t>NCAAM</t>
        </is>
      </c>
      <c r="B406" s="12" t="inlineStr">
        <is>
          <t>Liberty</t>
        </is>
      </c>
      <c r="C406" s="12" t="inlineStr">
        <is>
          <t>NCAAM: Liberty</t>
        </is>
      </c>
      <c r="D406" s="11">
        <f>IF(COUNTIF('Draft Board'!$B$3:$K$13,C406)&gt;0,"DRAFTED","")</f>
        <v/>
      </c>
    </row>
    <row r="407">
      <c r="A407" s="12" t="inlineStr">
        <is>
          <t>NCAAM</t>
        </is>
      </c>
      <c r="B407" s="12" t="inlineStr">
        <is>
          <t>Lindenwood</t>
        </is>
      </c>
      <c r="C407" s="12" t="inlineStr">
        <is>
          <t>NCAAM: Lindenwood</t>
        </is>
      </c>
      <c r="D407" s="11">
        <f>IF(COUNTIF('Draft Board'!$B$3:$K$13,C407)&gt;0,"DRAFTED","")</f>
        <v/>
      </c>
    </row>
    <row r="408">
      <c r="A408" s="12" t="inlineStr">
        <is>
          <t>NCAAM</t>
        </is>
      </c>
      <c r="B408" s="12" t="inlineStr">
        <is>
          <t>Lipscomb</t>
        </is>
      </c>
      <c r="C408" s="12" t="inlineStr">
        <is>
          <t>NCAAM: Lipscomb</t>
        </is>
      </c>
      <c r="D408" s="11">
        <f>IF(COUNTIF('Draft Board'!$B$3:$K$13,C408)&gt;0,"DRAFTED","")</f>
        <v/>
      </c>
    </row>
    <row r="409">
      <c r="A409" s="12" t="inlineStr">
        <is>
          <t>NCAAM</t>
        </is>
      </c>
      <c r="B409" s="12" t="inlineStr">
        <is>
          <t>Little Rock</t>
        </is>
      </c>
      <c r="C409" s="12" t="inlineStr">
        <is>
          <t>NCAAM: Little Rock</t>
        </is>
      </c>
      <c r="D409" s="11">
        <f>IF(COUNTIF('Draft Board'!$B$3:$K$13,C409)&gt;0,"DRAFTED","")</f>
        <v/>
      </c>
    </row>
    <row r="410">
      <c r="A410" s="12" t="inlineStr">
        <is>
          <t>NCAAM</t>
        </is>
      </c>
      <c r="B410" s="12" t="inlineStr">
        <is>
          <t>LIU</t>
        </is>
      </c>
      <c r="C410" s="12" t="inlineStr">
        <is>
          <t>NCAAM: LIU</t>
        </is>
      </c>
      <c r="D410" s="11">
        <f>IF(COUNTIF('Draft Board'!$B$3:$K$13,C410)&gt;0,"DRAFTED","")</f>
        <v/>
      </c>
    </row>
    <row r="411">
      <c r="A411" s="12" t="inlineStr">
        <is>
          <t>NCAAM</t>
        </is>
      </c>
      <c r="B411" s="12" t="inlineStr">
        <is>
          <t>Long Beach State</t>
        </is>
      </c>
      <c r="C411" s="12" t="inlineStr">
        <is>
          <t>NCAAM: Long Beach State</t>
        </is>
      </c>
      <c r="D411" s="11">
        <f>IF(COUNTIF('Draft Board'!$B$3:$K$13,C411)&gt;0,"DRAFTED","")</f>
        <v/>
      </c>
    </row>
    <row r="412">
      <c r="A412" s="12" t="inlineStr">
        <is>
          <t>NCAAM</t>
        </is>
      </c>
      <c r="B412" s="12" t="inlineStr">
        <is>
          <t>Longwood</t>
        </is>
      </c>
      <c r="C412" s="12" t="inlineStr">
        <is>
          <t>NCAAM: Longwood</t>
        </is>
      </c>
      <c r="D412" s="11">
        <f>IF(COUNTIF('Draft Board'!$B$3:$K$13,C412)&gt;0,"DRAFTED","")</f>
        <v/>
      </c>
    </row>
    <row r="413">
      <c r="A413" s="12" t="inlineStr">
        <is>
          <t>NCAAM</t>
        </is>
      </c>
      <c r="B413" s="12" t="inlineStr">
        <is>
          <t>Louisiana</t>
        </is>
      </c>
      <c r="C413" s="12" t="inlineStr">
        <is>
          <t>NCAAM: Louisiana</t>
        </is>
      </c>
      <c r="D413" s="11">
        <f>IF(COUNTIF('Draft Board'!$B$3:$K$13,C413)&gt;0,"DRAFTED","")</f>
        <v/>
      </c>
    </row>
    <row r="414">
      <c r="A414" s="12" t="inlineStr">
        <is>
          <t>NCAAM</t>
        </is>
      </c>
      <c r="B414" s="12" t="inlineStr">
        <is>
          <t>Louisiana Tech</t>
        </is>
      </c>
      <c r="C414" s="12" t="inlineStr">
        <is>
          <t>NCAAM: Louisiana Tech</t>
        </is>
      </c>
      <c r="D414" s="11">
        <f>IF(COUNTIF('Draft Board'!$B$3:$K$13,C414)&gt;0,"DRAFTED","")</f>
        <v/>
      </c>
    </row>
    <row r="415">
      <c r="A415" s="12" t="inlineStr">
        <is>
          <t>NCAAM</t>
        </is>
      </c>
      <c r="B415" s="12" t="inlineStr">
        <is>
          <t>Louisville</t>
        </is>
      </c>
      <c r="C415" s="12" t="inlineStr">
        <is>
          <t>NCAAM: Louisville</t>
        </is>
      </c>
      <c r="D415" s="11">
        <f>IF(COUNTIF('Draft Board'!$B$3:$K$13,C415)&gt;0,"DRAFTED","")</f>
        <v/>
      </c>
    </row>
    <row r="416">
      <c r="A416" s="12" t="inlineStr">
        <is>
          <t>NCAAM</t>
        </is>
      </c>
      <c r="B416" s="12" t="inlineStr">
        <is>
          <t>Loyola Chicago</t>
        </is>
      </c>
      <c r="C416" s="12" t="inlineStr">
        <is>
          <t>NCAAM: Loyola Chicago</t>
        </is>
      </c>
      <c r="D416" s="11">
        <f>IF(COUNTIF('Draft Board'!$B$3:$K$13,C416)&gt;0,"DRAFTED","")</f>
        <v/>
      </c>
    </row>
    <row r="417">
      <c r="A417" s="12" t="inlineStr">
        <is>
          <t>NCAAM</t>
        </is>
      </c>
      <c r="B417" s="12" t="inlineStr">
        <is>
          <t>Loyola Maryland</t>
        </is>
      </c>
      <c r="C417" s="12" t="inlineStr">
        <is>
          <t>NCAAM: Loyola Maryland</t>
        </is>
      </c>
      <c r="D417" s="11">
        <f>IF(COUNTIF('Draft Board'!$B$3:$K$13,C417)&gt;0,"DRAFTED","")</f>
        <v/>
      </c>
    </row>
    <row r="418">
      <c r="A418" s="12" t="inlineStr">
        <is>
          <t>NCAAM</t>
        </is>
      </c>
      <c r="B418" s="12" t="inlineStr">
        <is>
          <t>Loyola Marymount</t>
        </is>
      </c>
      <c r="C418" s="12" t="inlineStr">
        <is>
          <t>NCAAM: Loyola Marymount</t>
        </is>
      </c>
      <c r="D418" s="11">
        <f>IF(COUNTIF('Draft Board'!$B$3:$K$13,C418)&gt;0,"DRAFTED","")</f>
        <v/>
      </c>
    </row>
    <row r="419">
      <c r="A419" s="12" t="inlineStr">
        <is>
          <t>NCAAM</t>
        </is>
      </c>
      <c r="B419" s="12" t="inlineStr">
        <is>
          <t>LSU</t>
        </is>
      </c>
      <c r="C419" s="12" t="inlineStr">
        <is>
          <t>NCAAM: LSU</t>
        </is>
      </c>
      <c r="D419" s="11">
        <f>IF(COUNTIF('Draft Board'!$B$3:$K$13,C419)&gt;0,"DRAFTED","")</f>
        <v/>
      </c>
    </row>
    <row r="420">
      <c r="A420" s="12" t="inlineStr">
        <is>
          <t>NCAAM</t>
        </is>
      </c>
      <c r="B420" s="12" t="inlineStr">
        <is>
          <t>Maine</t>
        </is>
      </c>
      <c r="C420" s="12" t="inlineStr">
        <is>
          <t>NCAAM: Maine</t>
        </is>
      </c>
      <c r="D420" s="11">
        <f>IF(COUNTIF('Draft Board'!$B$3:$K$13,C420)&gt;0,"DRAFTED","")</f>
        <v/>
      </c>
    </row>
    <row r="421">
      <c r="A421" s="12" t="inlineStr">
        <is>
          <t>NCAAM</t>
        </is>
      </c>
      <c r="B421" s="12" t="inlineStr">
        <is>
          <t>Manhattan</t>
        </is>
      </c>
      <c r="C421" s="12" t="inlineStr">
        <is>
          <t>NCAAM: Manhattan</t>
        </is>
      </c>
      <c r="D421" s="11">
        <f>IF(COUNTIF('Draft Board'!$B$3:$K$13,C421)&gt;0,"DRAFTED","")</f>
        <v/>
      </c>
    </row>
    <row r="422">
      <c r="A422" s="12" t="inlineStr">
        <is>
          <t>NCAAM</t>
        </is>
      </c>
      <c r="B422" s="12" t="inlineStr">
        <is>
          <t>Marist</t>
        </is>
      </c>
      <c r="C422" s="12" t="inlineStr">
        <is>
          <t>NCAAM: Marist</t>
        </is>
      </c>
      <c r="D422" s="11">
        <f>IF(COUNTIF('Draft Board'!$B$3:$K$13,C422)&gt;0,"DRAFTED","")</f>
        <v/>
      </c>
    </row>
    <row r="423">
      <c r="A423" s="12" t="inlineStr">
        <is>
          <t>NCAAM</t>
        </is>
      </c>
      <c r="B423" s="12" t="inlineStr">
        <is>
          <t>Marquette</t>
        </is>
      </c>
      <c r="C423" s="12" t="inlineStr">
        <is>
          <t>NCAAM: Marquette</t>
        </is>
      </c>
      <c r="D423" s="11">
        <f>IF(COUNTIF('Draft Board'!$B$3:$K$13,C423)&gt;0,"DRAFTED","")</f>
        <v/>
      </c>
    </row>
    <row r="424">
      <c r="A424" s="12" t="inlineStr">
        <is>
          <t>NCAAM</t>
        </is>
      </c>
      <c r="B424" s="12" t="inlineStr">
        <is>
          <t>Marshall</t>
        </is>
      </c>
      <c r="C424" s="12" t="inlineStr">
        <is>
          <t>NCAAM: Marshall</t>
        </is>
      </c>
      <c r="D424" s="11">
        <f>IF(COUNTIF('Draft Board'!$B$3:$K$13,C424)&gt;0,"DRAFTED","")</f>
        <v/>
      </c>
    </row>
    <row r="425">
      <c r="A425" s="12" t="inlineStr">
        <is>
          <t>NCAAM</t>
        </is>
      </c>
      <c r="B425" s="12" t="inlineStr">
        <is>
          <t>Maryland</t>
        </is>
      </c>
      <c r="C425" s="12" t="inlineStr">
        <is>
          <t>NCAAM: Maryland</t>
        </is>
      </c>
      <c r="D425" s="11">
        <f>IF(COUNTIF('Draft Board'!$B$3:$K$13,C425)&gt;0,"DRAFTED","")</f>
        <v/>
      </c>
    </row>
    <row r="426">
      <c r="A426" s="12" t="inlineStr">
        <is>
          <t>NCAAM</t>
        </is>
      </c>
      <c r="B426" s="12" t="inlineStr">
        <is>
          <t>Maryland Eastern Shore</t>
        </is>
      </c>
      <c r="C426" s="12" t="inlineStr">
        <is>
          <t>NCAAM: Maryland Eastern Shore</t>
        </is>
      </c>
      <c r="D426" s="11">
        <f>IF(COUNTIF('Draft Board'!$B$3:$K$13,C426)&gt;0,"DRAFTED","")</f>
        <v/>
      </c>
    </row>
    <row r="427">
      <c r="A427" s="12" t="inlineStr">
        <is>
          <t>NCAAM</t>
        </is>
      </c>
      <c r="B427" s="12" t="inlineStr">
        <is>
          <t>McNeese</t>
        </is>
      </c>
      <c r="C427" s="12" t="inlineStr">
        <is>
          <t>NCAAM: McNeese</t>
        </is>
      </c>
      <c r="D427" s="11">
        <f>IF(COUNTIF('Draft Board'!$B$3:$K$13,C427)&gt;0,"DRAFTED","")</f>
        <v/>
      </c>
    </row>
    <row r="428">
      <c r="A428" s="12" t="inlineStr">
        <is>
          <t>NCAAM</t>
        </is>
      </c>
      <c r="B428" s="12" t="inlineStr">
        <is>
          <t>Memphis</t>
        </is>
      </c>
      <c r="C428" s="12" t="inlineStr">
        <is>
          <t>NCAAM: Memphis</t>
        </is>
      </c>
      <c r="D428" s="11">
        <f>IF(COUNTIF('Draft Board'!$B$3:$K$13,C428)&gt;0,"DRAFTED","")</f>
        <v/>
      </c>
    </row>
    <row r="429">
      <c r="A429" s="12" t="inlineStr">
        <is>
          <t>NCAAM</t>
        </is>
      </c>
      <c r="B429" s="12" t="inlineStr">
        <is>
          <t>Mercer</t>
        </is>
      </c>
      <c r="C429" s="12" t="inlineStr">
        <is>
          <t>NCAAM: Mercer</t>
        </is>
      </c>
      <c r="D429" s="11">
        <f>IF(COUNTIF('Draft Board'!$B$3:$K$13,C429)&gt;0,"DRAFTED","")</f>
        <v/>
      </c>
    </row>
    <row r="430">
      <c r="A430" s="12" t="inlineStr">
        <is>
          <t>NCAAM</t>
        </is>
      </c>
      <c r="B430" s="12" t="inlineStr">
        <is>
          <t>Mercyhurst</t>
        </is>
      </c>
      <c r="C430" s="12" t="inlineStr">
        <is>
          <t>NCAAM: Mercyhurst</t>
        </is>
      </c>
      <c r="D430" s="11">
        <f>IF(COUNTIF('Draft Board'!$B$3:$K$13,C430)&gt;0,"DRAFTED","")</f>
        <v/>
      </c>
    </row>
    <row r="431">
      <c r="A431" s="12" t="inlineStr">
        <is>
          <t>NCAAM</t>
        </is>
      </c>
      <c r="B431" s="12" t="inlineStr">
        <is>
          <t>Merrimack</t>
        </is>
      </c>
      <c r="C431" s="12" t="inlineStr">
        <is>
          <t>NCAAM: Merrimack</t>
        </is>
      </c>
      <c r="D431" s="11">
        <f>IF(COUNTIF('Draft Board'!$B$3:$K$13,C431)&gt;0,"DRAFTED","")</f>
        <v/>
      </c>
    </row>
    <row r="432">
      <c r="A432" s="12" t="inlineStr">
        <is>
          <t>NCAAM</t>
        </is>
      </c>
      <c r="B432" s="12" t="inlineStr">
        <is>
          <t>Miami (FL)</t>
        </is>
      </c>
      <c r="C432" s="12" t="inlineStr">
        <is>
          <t>NCAAM: Miami (FL)</t>
        </is>
      </c>
      <c r="D432" s="11">
        <f>IF(COUNTIF('Draft Board'!$B$3:$K$13,C432)&gt;0,"DRAFTED","")</f>
        <v/>
      </c>
    </row>
    <row r="433">
      <c r="A433" s="12" t="inlineStr">
        <is>
          <t>NCAAM</t>
        </is>
      </c>
      <c r="B433" s="12" t="inlineStr">
        <is>
          <t>Miami (OH)</t>
        </is>
      </c>
      <c r="C433" s="12" t="inlineStr">
        <is>
          <t>NCAAM: Miami (OH)</t>
        </is>
      </c>
      <c r="D433" s="11">
        <f>IF(COUNTIF('Draft Board'!$B$3:$K$13,C433)&gt;0,"DRAFTED","")</f>
        <v/>
      </c>
    </row>
    <row r="434">
      <c r="A434" s="12" t="inlineStr">
        <is>
          <t>NCAAM</t>
        </is>
      </c>
      <c r="B434" s="12" t="inlineStr">
        <is>
          <t>Michigan</t>
        </is>
      </c>
      <c r="C434" s="12" t="inlineStr">
        <is>
          <t>NCAAM: Michigan</t>
        </is>
      </c>
      <c r="D434" s="11">
        <f>IF(COUNTIF('Draft Board'!$B$3:$K$13,C434)&gt;0,"DRAFTED","")</f>
        <v/>
      </c>
    </row>
    <row r="435">
      <c r="A435" s="12" t="inlineStr">
        <is>
          <t>NCAAM</t>
        </is>
      </c>
      <c r="B435" s="12" t="inlineStr">
        <is>
          <t>Michigan State</t>
        </is>
      </c>
      <c r="C435" s="12" t="inlineStr">
        <is>
          <t>NCAAM: Michigan State</t>
        </is>
      </c>
      <c r="D435" s="11">
        <f>IF(COUNTIF('Draft Board'!$B$3:$K$13,C435)&gt;0,"DRAFTED","")</f>
        <v/>
      </c>
    </row>
    <row r="436">
      <c r="A436" s="12" t="inlineStr">
        <is>
          <t>NCAAM</t>
        </is>
      </c>
      <c r="B436" s="12" t="inlineStr">
        <is>
          <t>Middle Tennessee</t>
        </is>
      </c>
      <c r="C436" s="12" t="inlineStr">
        <is>
          <t>NCAAM: Middle Tennessee</t>
        </is>
      </c>
      <c r="D436" s="11">
        <f>IF(COUNTIF('Draft Board'!$B$3:$K$13,C436)&gt;0,"DRAFTED","")</f>
        <v/>
      </c>
    </row>
    <row r="437">
      <c r="A437" s="12" t="inlineStr">
        <is>
          <t>NCAAM</t>
        </is>
      </c>
      <c r="B437" s="12" t="inlineStr">
        <is>
          <t>Milwaukee</t>
        </is>
      </c>
      <c r="C437" s="12" t="inlineStr">
        <is>
          <t>NCAAM: Milwaukee</t>
        </is>
      </c>
      <c r="D437" s="11">
        <f>IF(COUNTIF('Draft Board'!$B$3:$K$13,C437)&gt;0,"DRAFTED","")</f>
        <v/>
      </c>
    </row>
    <row r="438">
      <c r="A438" s="12" t="inlineStr">
        <is>
          <t>NCAAM</t>
        </is>
      </c>
      <c r="B438" s="12" t="inlineStr">
        <is>
          <t>Minnesota</t>
        </is>
      </c>
      <c r="C438" s="12" t="inlineStr">
        <is>
          <t>NCAAM: Minnesota</t>
        </is>
      </c>
      <c r="D438" s="11">
        <f>IF(COUNTIF('Draft Board'!$B$3:$K$13,C438)&gt;0,"DRAFTED","")</f>
        <v/>
      </c>
    </row>
    <row r="439">
      <c r="A439" s="12" t="inlineStr">
        <is>
          <t>NCAAM</t>
        </is>
      </c>
      <c r="B439" s="12" t="inlineStr">
        <is>
          <t>Mississippi State</t>
        </is>
      </c>
      <c r="C439" s="12" t="inlineStr">
        <is>
          <t>NCAAM: Mississippi State</t>
        </is>
      </c>
      <c r="D439" s="11">
        <f>IF(COUNTIF('Draft Board'!$B$3:$K$13,C439)&gt;0,"DRAFTED","")</f>
        <v/>
      </c>
    </row>
    <row r="440">
      <c r="A440" s="12" t="inlineStr">
        <is>
          <t>NCAAM</t>
        </is>
      </c>
      <c r="B440" s="12" t="inlineStr">
        <is>
          <t>Mississippi Valley State</t>
        </is>
      </c>
      <c r="C440" s="12" t="inlineStr">
        <is>
          <t>NCAAM: Mississippi Valley State</t>
        </is>
      </c>
      <c r="D440" s="11">
        <f>IF(COUNTIF('Draft Board'!$B$3:$K$13,C440)&gt;0,"DRAFTED","")</f>
        <v/>
      </c>
    </row>
    <row r="441">
      <c r="A441" s="12" t="inlineStr">
        <is>
          <t>NCAAM</t>
        </is>
      </c>
      <c r="B441" s="12" t="inlineStr">
        <is>
          <t>Missouri</t>
        </is>
      </c>
      <c r="C441" s="12" t="inlineStr">
        <is>
          <t>NCAAM: Missouri</t>
        </is>
      </c>
      <c r="D441" s="11">
        <f>IF(COUNTIF('Draft Board'!$B$3:$K$13,C441)&gt;0,"DRAFTED","")</f>
        <v/>
      </c>
    </row>
    <row r="442">
      <c r="A442" s="12" t="inlineStr">
        <is>
          <t>NCAAM</t>
        </is>
      </c>
      <c r="B442" s="12" t="inlineStr">
        <is>
          <t>Missouri State</t>
        </is>
      </c>
      <c r="C442" s="12" t="inlineStr">
        <is>
          <t>NCAAM: Missouri State</t>
        </is>
      </c>
      <c r="D442" s="11">
        <f>IF(COUNTIF('Draft Board'!$B$3:$K$13,C442)&gt;0,"DRAFTED","")</f>
        <v/>
      </c>
    </row>
    <row r="443">
      <c r="A443" s="12" t="inlineStr">
        <is>
          <t>NCAAM</t>
        </is>
      </c>
      <c r="B443" s="12" t="inlineStr">
        <is>
          <t>Monmouth</t>
        </is>
      </c>
      <c r="C443" s="12" t="inlineStr">
        <is>
          <t>NCAAM: Monmouth</t>
        </is>
      </c>
      <c r="D443" s="11">
        <f>IF(COUNTIF('Draft Board'!$B$3:$K$13,C443)&gt;0,"DRAFTED","")</f>
        <v/>
      </c>
    </row>
    <row r="444">
      <c r="A444" s="12" t="inlineStr">
        <is>
          <t>NCAAM</t>
        </is>
      </c>
      <c r="B444" s="12" t="inlineStr">
        <is>
          <t>Montana</t>
        </is>
      </c>
      <c r="C444" s="12" t="inlineStr">
        <is>
          <t>NCAAM: Montana</t>
        </is>
      </c>
      <c r="D444" s="11">
        <f>IF(COUNTIF('Draft Board'!$B$3:$K$13,C444)&gt;0,"DRAFTED","")</f>
        <v/>
      </c>
    </row>
    <row r="445">
      <c r="A445" s="12" t="inlineStr">
        <is>
          <t>NCAAM</t>
        </is>
      </c>
      <c r="B445" s="12" t="inlineStr">
        <is>
          <t>Montana State</t>
        </is>
      </c>
      <c r="C445" s="12" t="inlineStr">
        <is>
          <t>NCAAM: Montana State</t>
        </is>
      </c>
      <c r="D445" s="11">
        <f>IF(COUNTIF('Draft Board'!$B$3:$K$13,C445)&gt;0,"DRAFTED","")</f>
        <v/>
      </c>
    </row>
    <row r="446">
      <c r="A446" s="12" t="inlineStr">
        <is>
          <t>NCAAM</t>
        </is>
      </c>
      <c r="B446" s="12" t="inlineStr">
        <is>
          <t>Morehead State</t>
        </is>
      </c>
      <c r="C446" s="12" t="inlineStr">
        <is>
          <t>NCAAM: Morehead State</t>
        </is>
      </c>
      <c r="D446" s="11">
        <f>IF(COUNTIF('Draft Board'!$B$3:$K$13,C446)&gt;0,"DRAFTED","")</f>
        <v/>
      </c>
    </row>
    <row r="447">
      <c r="A447" s="12" t="inlineStr">
        <is>
          <t>NCAAM</t>
        </is>
      </c>
      <c r="B447" s="12" t="inlineStr">
        <is>
          <t>Morgan State</t>
        </is>
      </c>
      <c r="C447" s="12" t="inlineStr">
        <is>
          <t>NCAAM: Morgan State</t>
        </is>
      </c>
      <c r="D447" s="11">
        <f>IF(COUNTIF('Draft Board'!$B$3:$K$13,C447)&gt;0,"DRAFTED","")</f>
        <v/>
      </c>
    </row>
    <row r="448">
      <c r="A448" s="12" t="inlineStr">
        <is>
          <t>NCAAM</t>
        </is>
      </c>
      <c r="B448" s="12" t="inlineStr">
        <is>
          <t>Mount St. Mary's</t>
        </is>
      </c>
      <c r="C448" s="12" t="inlineStr">
        <is>
          <t>NCAAM: Mount St. Mary's</t>
        </is>
      </c>
      <c r="D448" s="11">
        <f>IF(COUNTIF('Draft Board'!$B$3:$K$13,C448)&gt;0,"DRAFTED","")</f>
        <v/>
      </c>
    </row>
    <row r="449">
      <c r="A449" s="12" t="inlineStr">
        <is>
          <t>NCAAM</t>
        </is>
      </c>
      <c r="B449" s="12" t="inlineStr">
        <is>
          <t>Murray State</t>
        </is>
      </c>
      <c r="C449" s="12" t="inlineStr">
        <is>
          <t>NCAAM: Murray State</t>
        </is>
      </c>
      <c r="D449" s="11">
        <f>IF(COUNTIF('Draft Board'!$B$3:$K$13,C449)&gt;0,"DRAFTED","")</f>
        <v/>
      </c>
    </row>
    <row r="450">
      <c r="A450" s="12" t="inlineStr">
        <is>
          <t>NCAAM</t>
        </is>
      </c>
      <c r="B450" s="12" t="inlineStr">
        <is>
          <t>Navy</t>
        </is>
      </c>
      <c r="C450" s="12" t="inlineStr">
        <is>
          <t>NCAAM: Navy</t>
        </is>
      </c>
      <c r="D450" s="11">
        <f>IF(COUNTIF('Draft Board'!$B$3:$K$13,C450)&gt;0,"DRAFTED","")</f>
        <v/>
      </c>
    </row>
    <row r="451">
      <c r="A451" s="12" t="inlineStr">
        <is>
          <t>NCAAM</t>
        </is>
      </c>
      <c r="B451" s="12" t="inlineStr">
        <is>
          <t>NC State</t>
        </is>
      </c>
      <c r="C451" s="12" t="inlineStr">
        <is>
          <t>NCAAM: NC State</t>
        </is>
      </c>
      <c r="D451" s="11">
        <f>IF(COUNTIF('Draft Board'!$B$3:$K$13,C451)&gt;0,"DRAFTED","")</f>
        <v/>
      </c>
    </row>
    <row r="452">
      <c r="A452" s="12" t="inlineStr">
        <is>
          <t>NCAAM</t>
        </is>
      </c>
      <c r="B452" s="12" t="inlineStr">
        <is>
          <t>Nebraska</t>
        </is>
      </c>
      <c r="C452" s="12" t="inlineStr">
        <is>
          <t>NCAAM: Nebraska</t>
        </is>
      </c>
      <c r="D452" s="11">
        <f>IF(COUNTIF('Draft Board'!$B$3:$K$13,C452)&gt;0,"DRAFTED","")</f>
        <v/>
      </c>
    </row>
    <row r="453">
      <c r="A453" s="12" t="inlineStr">
        <is>
          <t>NCAAM</t>
        </is>
      </c>
      <c r="B453" s="12" t="inlineStr">
        <is>
          <t>Nevada</t>
        </is>
      </c>
      <c r="C453" s="12" t="inlineStr">
        <is>
          <t>NCAAM: Nevada</t>
        </is>
      </c>
      <c r="D453" s="11">
        <f>IF(COUNTIF('Draft Board'!$B$3:$K$13,C453)&gt;0,"DRAFTED","")</f>
        <v/>
      </c>
    </row>
    <row r="454">
      <c r="A454" s="12" t="inlineStr">
        <is>
          <t>NCAAM</t>
        </is>
      </c>
      <c r="B454" s="12" t="inlineStr">
        <is>
          <t>New Hampshire</t>
        </is>
      </c>
      <c r="C454" s="12" t="inlineStr">
        <is>
          <t>NCAAM: New Hampshire</t>
        </is>
      </c>
      <c r="D454" s="11">
        <f>IF(COUNTIF('Draft Board'!$B$3:$K$13,C454)&gt;0,"DRAFTED","")</f>
        <v/>
      </c>
    </row>
    <row r="455">
      <c r="A455" s="12" t="inlineStr">
        <is>
          <t>NCAAM</t>
        </is>
      </c>
      <c r="B455" s="12" t="inlineStr">
        <is>
          <t>New Haven</t>
        </is>
      </c>
      <c r="C455" s="12" t="inlineStr">
        <is>
          <t>NCAAM: New Haven</t>
        </is>
      </c>
      <c r="D455" s="11">
        <f>IF(COUNTIF('Draft Board'!$B$3:$K$13,C455)&gt;0,"DRAFTED","")</f>
        <v/>
      </c>
    </row>
    <row r="456">
      <c r="A456" s="12" t="inlineStr">
        <is>
          <t>NCAAM</t>
        </is>
      </c>
      <c r="B456" s="12" t="inlineStr">
        <is>
          <t>New Mexico</t>
        </is>
      </c>
      <c r="C456" s="12" t="inlineStr">
        <is>
          <t>NCAAM: New Mexico</t>
        </is>
      </c>
      <c r="D456" s="11">
        <f>IF(COUNTIF('Draft Board'!$B$3:$K$13,C456)&gt;0,"DRAFTED","")</f>
        <v/>
      </c>
    </row>
    <row r="457">
      <c r="A457" s="12" t="inlineStr">
        <is>
          <t>NCAAM</t>
        </is>
      </c>
      <c r="B457" s="12" t="inlineStr">
        <is>
          <t>New Mexico State</t>
        </is>
      </c>
      <c r="C457" s="12" t="inlineStr">
        <is>
          <t>NCAAM: New Mexico State</t>
        </is>
      </c>
      <c r="D457" s="11">
        <f>IF(COUNTIF('Draft Board'!$B$3:$K$13,C457)&gt;0,"DRAFTED","")</f>
        <v/>
      </c>
    </row>
    <row r="458">
      <c r="A458" s="12" t="inlineStr">
        <is>
          <t>NCAAM</t>
        </is>
      </c>
      <c r="B458" s="12" t="inlineStr">
        <is>
          <t>New Orleans</t>
        </is>
      </c>
      <c r="C458" s="12" t="inlineStr">
        <is>
          <t>NCAAM: New Orleans</t>
        </is>
      </c>
      <c r="D458" s="11">
        <f>IF(COUNTIF('Draft Board'!$B$3:$K$13,C458)&gt;0,"DRAFTED","")</f>
        <v/>
      </c>
    </row>
    <row r="459">
      <c r="A459" s="12" t="inlineStr">
        <is>
          <t>NCAAM</t>
        </is>
      </c>
      <c r="B459" s="12" t="inlineStr">
        <is>
          <t>Niagara</t>
        </is>
      </c>
      <c r="C459" s="12" t="inlineStr">
        <is>
          <t>NCAAM: Niagara</t>
        </is>
      </c>
      <c r="D459" s="11">
        <f>IF(COUNTIF('Draft Board'!$B$3:$K$13,C459)&gt;0,"DRAFTED","")</f>
        <v/>
      </c>
    </row>
    <row r="460">
      <c r="A460" s="12" t="inlineStr">
        <is>
          <t>NCAAM</t>
        </is>
      </c>
      <c r="B460" s="12" t="inlineStr">
        <is>
          <t>Nicholls</t>
        </is>
      </c>
      <c r="C460" s="12" t="inlineStr">
        <is>
          <t>NCAAM: Nicholls</t>
        </is>
      </c>
      <c r="D460" s="11">
        <f>IF(COUNTIF('Draft Board'!$B$3:$K$13,C460)&gt;0,"DRAFTED","")</f>
        <v/>
      </c>
    </row>
    <row r="461">
      <c r="A461" s="12" t="inlineStr">
        <is>
          <t>NCAAM</t>
        </is>
      </c>
      <c r="B461" s="12" t="inlineStr">
        <is>
          <t>NJIT</t>
        </is>
      </c>
      <c r="C461" s="12" t="inlineStr">
        <is>
          <t>NCAAM: NJIT</t>
        </is>
      </c>
      <c r="D461" s="11">
        <f>IF(COUNTIF('Draft Board'!$B$3:$K$13,C461)&gt;0,"DRAFTED","")</f>
        <v/>
      </c>
    </row>
    <row r="462">
      <c r="A462" s="12" t="inlineStr">
        <is>
          <t>NCAAM</t>
        </is>
      </c>
      <c r="B462" s="12" t="inlineStr">
        <is>
          <t>Norfolk State</t>
        </is>
      </c>
      <c r="C462" s="12" t="inlineStr">
        <is>
          <t>NCAAM: Norfolk State</t>
        </is>
      </c>
      <c r="D462" s="11">
        <f>IF(COUNTIF('Draft Board'!$B$3:$K$13,C462)&gt;0,"DRAFTED","")</f>
        <v/>
      </c>
    </row>
    <row r="463">
      <c r="A463" s="12" t="inlineStr">
        <is>
          <t>NCAAM</t>
        </is>
      </c>
      <c r="B463" s="12" t="inlineStr">
        <is>
          <t>North Alabama</t>
        </is>
      </c>
      <c r="C463" s="12" t="inlineStr">
        <is>
          <t>NCAAM: North Alabama</t>
        </is>
      </c>
      <c r="D463" s="11">
        <f>IF(COUNTIF('Draft Board'!$B$3:$K$13,C463)&gt;0,"DRAFTED","")</f>
        <v/>
      </c>
    </row>
    <row r="464">
      <c r="A464" s="12" t="inlineStr">
        <is>
          <t>NCAAM</t>
        </is>
      </c>
      <c r="B464" s="12" t="inlineStr">
        <is>
          <t>North Carolina</t>
        </is>
      </c>
      <c r="C464" s="12" t="inlineStr">
        <is>
          <t>NCAAM: North Carolina</t>
        </is>
      </c>
      <c r="D464" s="11">
        <f>IF(COUNTIF('Draft Board'!$B$3:$K$13,C464)&gt;0,"DRAFTED","")</f>
        <v/>
      </c>
    </row>
    <row r="465">
      <c r="A465" s="12" t="inlineStr">
        <is>
          <t>NCAAM</t>
        </is>
      </c>
      <c r="B465" s="12" t="inlineStr">
        <is>
          <t>North Carolina A&amp;T</t>
        </is>
      </c>
      <c r="C465" s="12" t="inlineStr">
        <is>
          <t>NCAAM: North Carolina A&amp;T</t>
        </is>
      </c>
      <c r="D465" s="11">
        <f>IF(COUNTIF('Draft Board'!$B$3:$K$13,C465)&gt;0,"DRAFTED","")</f>
        <v/>
      </c>
    </row>
    <row r="466">
      <c r="A466" s="12" t="inlineStr">
        <is>
          <t>NCAAM</t>
        </is>
      </c>
      <c r="B466" s="12" t="inlineStr">
        <is>
          <t>North Carolina Central</t>
        </is>
      </c>
      <c r="C466" s="12" t="inlineStr">
        <is>
          <t>NCAAM: North Carolina Central</t>
        </is>
      </c>
      <c r="D466" s="11">
        <f>IF(COUNTIF('Draft Board'!$B$3:$K$13,C466)&gt;0,"DRAFTED","")</f>
        <v/>
      </c>
    </row>
    <row r="467">
      <c r="A467" s="12" t="inlineStr">
        <is>
          <t>NCAAM</t>
        </is>
      </c>
      <c r="B467" s="12" t="inlineStr">
        <is>
          <t>North Dakota</t>
        </is>
      </c>
      <c r="C467" s="12" t="inlineStr">
        <is>
          <t>NCAAM: North Dakota</t>
        </is>
      </c>
      <c r="D467" s="11">
        <f>IF(COUNTIF('Draft Board'!$B$3:$K$13,C467)&gt;0,"DRAFTED","")</f>
        <v/>
      </c>
    </row>
    <row r="468">
      <c r="A468" s="12" t="inlineStr">
        <is>
          <t>NCAAM</t>
        </is>
      </c>
      <c r="B468" s="12" t="inlineStr">
        <is>
          <t>North Dakota State</t>
        </is>
      </c>
      <c r="C468" s="12" t="inlineStr">
        <is>
          <t>NCAAM: North Dakota State</t>
        </is>
      </c>
      <c r="D468" s="11">
        <f>IF(COUNTIF('Draft Board'!$B$3:$K$13,C468)&gt;0,"DRAFTED","")</f>
        <v/>
      </c>
    </row>
    <row r="469">
      <c r="A469" s="12" t="inlineStr">
        <is>
          <t>NCAAM</t>
        </is>
      </c>
      <c r="B469" s="12" t="inlineStr">
        <is>
          <t>North Florida</t>
        </is>
      </c>
      <c r="C469" s="12" t="inlineStr">
        <is>
          <t>NCAAM: North Florida</t>
        </is>
      </c>
      <c r="D469" s="11">
        <f>IF(COUNTIF('Draft Board'!$B$3:$K$13,C469)&gt;0,"DRAFTED","")</f>
        <v/>
      </c>
    </row>
    <row r="470">
      <c r="A470" s="12" t="inlineStr">
        <is>
          <t>NCAAM</t>
        </is>
      </c>
      <c r="B470" s="12" t="inlineStr">
        <is>
          <t>North Texas</t>
        </is>
      </c>
      <c r="C470" s="12" t="inlineStr">
        <is>
          <t>NCAAM: North Texas</t>
        </is>
      </c>
      <c r="D470" s="11">
        <f>IF(COUNTIF('Draft Board'!$B$3:$K$13,C470)&gt;0,"DRAFTED","")</f>
        <v/>
      </c>
    </row>
    <row r="471">
      <c r="A471" s="12" t="inlineStr">
        <is>
          <t>NCAAM</t>
        </is>
      </c>
      <c r="B471" s="12" t="inlineStr">
        <is>
          <t>Northeastern</t>
        </is>
      </c>
      <c r="C471" s="12" t="inlineStr">
        <is>
          <t>NCAAM: Northeastern</t>
        </is>
      </c>
      <c r="D471" s="11">
        <f>IF(COUNTIF('Draft Board'!$B$3:$K$13,C471)&gt;0,"DRAFTED","")</f>
        <v/>
      </c>
    </row>
    <row r="472">
      <c r="A472" s="12" t="inlineStr">
        <is>
          <t>NCAAM</t>
        </is>
      </c>
      <c r="B472" s="12" t="inlineStr">
        <is>
          <t>Northern Arizona</t>
        </is>
      </c>
      <c r="C472" s="12" t="inlineStr">
        <is>
          <t>NCAAM: Northern Arizona</t>
        </is>
      </c>
      <c r="D472" s="11">
        <f>IF(COUNTIF('Draft Board'!$B$3:$K$13,C472)&gt;0,"DRAFTED","")</f>
        <v/>
      </c>
    </row>
    <row r="473">
      <c r="A473" s="12" t="inlineStr">
        <is>
          <t>NCAAM</t>
        </is>
      </c>
      <c r="B473" s="12" t="inlineStr">
        <is>
          <t>Northern Colorado</t>
        </is>
      </c>
      <c r="C473" s="12" t="inlineStr">
        <is>
          <t>NCAAM: Northern Colorado</t>
        </is>
      </c>
      <c r="D473" s="11">
        <f>IF(COUNTIF('Draft Board'!$B$3:$K$13,C473)&gt;0,"DRAFTED","")</f>
        <v/>
      </c>
    </row>
    <row r="474">
      <c r="A474" s="12" t="inlineStr">
        <is>
          <t>NCAAM</t>
        </is>
      </c>
      <c r="B474" s="12" t="inlineStr">
        <is>
          <t>Northern Illinois</t>
        </is>
      </c>
      <c r="C474" s="12" t="inlineStr">
        <is>
          <t>NCAAM: Northern Illinois</t>
        </is>
      </c>
      <c r="D474" s="11">
        <f>IF(COUNTIF('Draft Board'!$B$3:$K$13,C474)&gt;0,"DRAFTED","")</f>
        <v/>
      </c>
    </row>
    <row r="475">
      <c r="A475" s="12" t="inlineStr">
        <is>
          <t>NCAAM</t>
        </is>
      </c>
      <c r="B475" s="12" t="inlineStr">
        <is>
          <t>Northern Iowa</t>
        </is>
      </c>
      <c r="C475" s="12" t="inlineStr">
        <is>
          <t>NCAAM: Northern Iowa</t>
        </is>
      </c>
      <c r="D475" s="11">
        <f>IF(COUNTIF('Draft Board'!$B$3:$K$13,C475)&gt;0,"DRAFTED","")</f>
        <v/>
      </c>
    </row>
    <row r="476">
      <c r="A476" s="12" t="inlineStr">
        <is>
          <t>NCAAM</t>
        </is>
      </c>
      <c r="B476" s="12" t="inlineStr">
        <is>
          <t>Northern Kentucky</t>
        </is>
      </c>
      <c r="C476" s="12" t="inlineStr">
        <is>
          <t>NCAAM: Northern Kentucky</t>
        </is>
      </c>
      <c r="D476" s="11">
        <f>IF(COUNTIF('Draft Board'!$B$3:$K$13,C476)&gt;0,"DRAFTED","")</f>
        <v/>
      </c>
    </row>
    <row r="477">
      <c r="A477" s="12" t="inlineStr">
        <is>
          <t>NCAAM</t>
        </is>
      </c>
      <c r="B477" s="12" t="inlineStr">
        <is>
          <t>Northwestern</t>
        </is>
      </c>
      <c r="C477" s="12" t="inlineStr">
        <is>
          <t>NCAAM: Northwestern</t>
        </is>
      </c>
      <c r="D477" s="11">
        <f>IF(COUNTIF('Draft Board'!$B$3:$K$13,C477)&gt;0,"DRAFTED","")</f>
        <v/>
      </c>
    </row>
    <row r="478">
      <c r="A478" s="12" t="inlineStr">
        <is>
          <t>NCAAM</t>
        </is>
      </c>
      <c r="B478" s="12" t="inlineStr">
        <is>
          <t>Northwestern State</t>
        </is>
      </c>
      <c r="C478" s="12" t="inlineStr">
        <is>
          <t>NCAAM: Northwestern State</t>
        </is>
      </c>
      <c r="D478" s="11">
        <f>IF(COUNTIF('Draft Board'!$B$3:$K$13,C478)&gt;0,"DRAFTED","")</f>
        <v/>
      </c>
    </row>
    <row r="479">
      <c r="A479" s="12" t="inlineStr">
        <is>
          <t>NCAAM</t>
        </is>
      </c>
      <c r="B479" s="12" t="inlineStr">
        <is>
          <t>Notre Dame</t>
        </is>
      </c>
      <c r="C479" s="12" t="inlineStr">
        <is>
          <t>NCAAM: Notre Dame</t>
        </is>
      </c>
      <c r="D479" s="11">
        <f>IF(COUNTIF('Draft Board'!$B$3:$K$13,C479)&gt;0,"DRAFTED","")</f>
        <v/>
      </c>
    </row>
    <row r="480">
      <c r="A480" s="12" t="inlineStr">
        <is>
          <t>NCAAM</t>
        </is>
      </c>
      <c r="B480" s="12" t="inlineStr">
        <is>
          <t>Oakland</t>
        </is>
      </c>
      <c r="C480" s="12" t="inlineStr">
        <is>
          <t>NCAAM: Oakland</t>
        </is>
      </c>
      <c r="D480" s="11">
        <f>IF(COUNTIF('Draft Board'!$B$3:$K$13,C480)&gt;0,"DRAFTED","")</f>
        <v/>
      </c>
    </row>
    <row r="481">
      <c r="A481" s="12" t="inlineStr">
        <is>
          <t>NCAAM</t>
        </is>
      </c>
      <c r="B481" s="12" t="inlineStr">
        <is>
          <t>Ohio</t>
        </is>
      </c>
      <c r="C481" s="12" t="inlineStr">
        <is>
          <t>NCAAM: Ohio</t>
        </is>
      </c>
      <c r="D481" s="11">
        <f>IF(COUNTIF('Draft Board'!$B$3:$K$13,C481)&gt;0,"DRAFTED","")</f>
        <v/>
      </c>
    </row>
    <row r="482">
      <c r="A482" s="12" t="inlineStr">
        <is>
          <t>NCAAM</t>
        </is>
      </c>
      <c r="B482" s="12" t="inlineStr">
        <is>
          <t>Ohio State</t>
        </is>
      </c>
      <c r="C482" s="12" t="inlineStr">
        <is>
          <t>NCAAM: Ohio State</t>
        </is>
      </c>
      <c r="D482" s="11">
        <f>IF(COUNTIF('Draft Board'!$B$3:$K$13,C482)&gt;0,"DRAFTED","")</f>
        <v/>
      </c>
    </row>
    <row r="483">
      <c r="A483" s="12" t="inlineStr">
        <is>
          <t>NCAAM</t>
        </is>
      </c>
      <c r="B483" s="12" t="inlineStr">
        <is>
          <t>Oklahoma</t>
        </is>
      </c>
      <c r="C483" s="12" t="inlineStr">
        <is>
          <t>NCAAM: Oklahoma</t>
        </is>
      </c>
      <c r="D483" s="11">
        <f>IF(COUNTIF('Draft Board'!$B$3:$K$13,C483)&gt;0,"DRAFTED","")</f>
        <v/>
      </c>
    </row>
    <row r="484">
      <c r="A484" s="12" t="inlineStr">
        <is>
          <t>NCAAM</t>
        </is>
      </c>
      <c r="B484" s="12" t="inlineStr">
        <is>
          <t>Oklahoma State</t>
        </is>
      </c>
      <c r="C484" s="12" t="inlineStr">
        <is>
          <t>NCAAM: Oklahoma State</t>
        </is>
      </c>
      <c r="D484" s="11">
        <f>IF(COUNTIF('Draft Board'!$B$3:$K$13,C484)&gt;0,"DRAFTED","")</f>
        <v/>
      </c>
    </row>
    <row r="485">
      <c r="A485" s="12" t="inlineStr">
        <is>
          <t>NCAAM</t>
        </is>
      </c>
      <c r="B485" s="12" t="inlineStr">
        <is>
          <t>Old Dominion</t>
        </is>
      </c>
      <c r="C485" s="12" t="inlineStr">
        <is>
          <t>NCAAM: Old Dominion</t>
        </is>
      </c>
      <c r="D485" s="11">
        <f>IF(COUNTIF('Draft Board'!$B$3:$K$13,C485)&gt;0,"DRAFTED","")</f>
        <v/>
      </c>
    </row>
    <row r="486">
      <c r="A486" s="12" t="inlineStr">
        <is>
          <t>NCAAM</t>
        </is>
      </c>
      <c r="B486" s="12" t="inlineStr">
        <is>
          <t>Ole Miss</t>
        </is>
      </c>
      <c r="C486" s="12" t="inlineStr">
        <is>
          <t>NCAAM: Ole Miss</t>
        </is>
      </c>
      <c r="D486" s="11">
        <f>IF(COUNTIF('Draft Board'!$B$3:$K$13,C486)&gt;0,"DRAFTED","")</f>
        <v/>
      </c>
    </row>
    <row r="487">
      <c r="A487" s="12" t="inlineStr">
        <is>
          <t>NCAAM</t>
        </is>
      </c>
      <c r="B487" s="12" t="inlineStr">
        <is>
          <t>Omaha</t>
        </is>
      </c>
      <c r="C487" s="12" t="inlineStr">
        <is>
          <t>NCAAM: Omaha</t>
        </is>
      </c>
      <c r="D487" s="11">
        <f>IF(COUNTIF('Draft Board'!$B$3:$K$13,C487)&gt;0,"DRAFTED","")</f>
        <v/>
      </c>
    </row>
    <row r="488">
      <c r="A488" s="12" t="inlineStr">
        <is>
          <t>NCAAM</t>
        </is>
      </c>
      <c r="B488" s="12" t="inlineStr">
        <is>
          <t>Oral Roberts</t>
        </is>
      </c>
      <c r="C488" s="12" t="inlineStr">
        <is>
          <t>NCAAM: Oral Roberts</t>
        </is>
      </c>
      <c r="D488" s="11">
        <f>IF(COUNTIF('Draft Board'!$B$3:$K$13,C488)&gt;0,"DRAFTED","")</f>
        <v/>
      </c>
    </row>
    <row r="489">
      <c r="A489" s="12" t="inlineStr">
        <is>
          <t>NCAAM</t>
        </is>
      </c>
      <c r="B489" s="12" t="inlineStr">
        <is>
          <t>Oregon</t>
        </is>
      </c>
      <c r="C489" s="12" t="inlineStr">
        <is>
          <t>NCAAM: Oregon</t>
        </is>
      </c>
      <c r="D489" s="11">
        <f>IF(COUNTIF('Draft Board'!$B$3:$K$13,C489)&gt;0,"DRAFTED","")</f>
        <v/>
      </c>
    </row>
    <row r="490">
      <c r="A490" s="12" t="inlineStr">
        <is>
          <t>NCAAM</t>
        </is>
      </c>
      <c r="B490" s="12" t="inlineStr">
        <is>
          <t>Oregon State</t>
        </is>
      </c>
      <c r="C490" s="12" t="inlineStr">
        <is>
          <t>NCAAM: Oregon State</t>
        </is>
      </c>
      <c r="D490" s="11">
        <f>IF(COUNTIF('Draft Board'!$B$3:$K$13,C490)&gt;0,"DRAFTED","")</f>
        <v/>
      </c>
    </row>
    <row r="491">
      <c r="A491" s="12" t="inlineStr">
        <is>
          <t>NCAAM</t>
        </is>
      </c>
      <c r="B491" s="12" t="inlineStr">
        <is>
          <t>Pacific</t>
        </is>
      </c>
      <c r="C491" s="12" t="inlineStr">
        <is>
          <t>NCAAM: Pacific</t>
        </is>
      </c>
      <c r="D491" s="11">
        <f>IF(COUNTIF('Draft Board'!$B$3:$K$13,C491)&gt;0,"DRAFTED","")</f>
        <v/>
      </c>
    </row>
    <row r="492">
      <c r="A492" s="12" t="inlineStr">
        <is>
          <t>NCAAM</t>
        </is>
      </c>
      <c r="B492" s="12" t="inlineStr">
        <is>
          <t>Penn</t>
        </is>
      </c>
      <c r="C492" s="12" t="inlineStr">
        <is>
          <t>NCAAM: Penn</t>
        </is>
      </c>
      <c r="D492" s="11">
        <f>IF(COUNTIF('Draft Board'!$B$3:$K$13,C492)&gt;0,"DRAFTED","")</f>
        <v/>
      </c>
    </row>
    <row r="493">
      <c r="A493" s="12" t="inlineStr">
        <is>
          <t>NCAAM</t>
        </is>
      </c>
      <c r="B493" s="12" t="inlineStr">
        <is>
          <t>Penn State</t>
        </is>
      </c>
      <c r="C493" s="12" t="inlineStr">
        <is>
          <t>NCAAM: Penn State</t>
        </is>
      </c>
      <c r="D493" s="11">
        <f>IF(COUNTIF('Draft Board'!$B$3:$K$13,C493)&gt;0,"DRAFTED","")</f>
        <v/>
      </c>
    </row>
    <row r="494">
      <c r="A494" s="12" t="inlineStr">
        <is>
          <t>NCAAM</t>
        </is>
      </c>
      <c r="B494" s="12" t="inlineStr">
        <is>
          <t>Pepperdine</t>
        </is>
      </c>
      <c r="C494" s="12" t="inlineStr">
        <is>
          <t>NCAAM: Pepperdine</t>
        </is>
      </c>
      <c r="D494" s="11">
        <f>IF(COUNTIF('Draft Board'!$B$3:$K$13,C494)&gt;0,"DRAFTED","")</f>
        <v/>
      </c>
    </row>
    <row r="495">
      <c r="A495" s="12" t="inlineStr">
        <is>
          <t>NCAAM</t>
        </is>
      </c>
      <c r="B495" s="12" t="inlineStr">
        <is>
          <t>Pittsburgh</t>
        </is>
      </c>
      <c r="C495" s="12" t="inlineStr">
        <is>
          <t>NCAAM: Pittsburgh</t>
        </is>
      </c>
      <c r="D495" s="11">
        <f>IF(COUNTIF('Draft Board'!$B$3:$K$13,C495)&gt;0,"DRAFTED","")</f>
        <v/>
      </c>
    </row>
    <row r="496">
      <c r="A496" s="12" t="inlineStr">
        <is>
          <t>NCAAM</t>
        </is>
      </c>
      <c r="B496" s="12" t="inlineStr">
        <is>
          <t>Portland</t>
        </is>
      </c>
      <c r="C496" s="12" t="inlineStr">
        <is>
          <t>NCAAM: Portland</t>
        </is>
      </c>
      <c r="D496" s="11">
        <f>IF(COUNTIF('Draft Board'!$B$3:$K$13,C496)&gt;0,"DRAFTED","")</f>
        <v/>
      </c>
    </row>
    <row r="497">
      <c r="A497" s="12" t="inlineStr">
        <is>
          <t>NCAAM</t>
        </is>
      </c>
      <c r="B497" s="12" t="inlineStr">
        <is>
          <t>Portland State</t>
        </is>
      </c>
      <c r="C497" s="12" t="inlineStr">
        <is>
          <t>NCAAM: Portland State</t>
        </is>
      </c>
      <c r="D497" s="11">
        <f>IF(COUNTIF('Draft Board'!$B$3:$K$13,C497)&gt;0,"DRAFTED","")</f>
        <v/>
      </c>
    </row>
    <row r="498">
      <c r="A498" s="12" t="inlineStr">
        <is>
          <t>NCAAM</t>
        </is>
      </c>
      <c r="B498" s="12" t="inlineStr">
        <is>
          <t>Prairie View A&amp;M</t>
        </is>
      </c>
      <c r="C498" s="12" t="inlineStr">
        <is>
          <t>NCAAM: Prairie View A&amp;M</t>
        </is>
      </c>
      <c r="D498" s="11">
        <f>IF(COUNTIF('Draft Board'!$B$3:$K$13,C498)&gt;0,"DRAFTED","")</f>
        <v/>
      </c>
    </row>
    <row r="499">
      <c r="A499" s="12" t="inlineStr">
        <is>
          <t>NCAAM</t>
        </is>
      </c>
      <c r="B499" s="12" t="inlineStr">
        <is>
          <t>Presbyterian</t>
        </is>
      </c>
      <c r="C499" s="12" t="inlineStr">
        <is>
          <t>NCAAM: Presbyterian</t>
        </is>
      </c>
      <c r="D499" s="11">
        <f>IF(COUNTIF('Draft Board'!$B$3:$K$13,C499)&gt;0,"DRAFTED","")</f>
        <v/>
      </c>
    </row>
    <row r="500">
      <c r="A500" s="12" t="inlineStr">
        <is>
          <t>NCAAM</t>
        </is>
      </c>
      <c r="B500" s="12" t="inlineStr">
        <is>
          <t>Princeton</t>
        </is>
      </c>
      <c r="C500" s="12" t="inlineStr">
        <is>
          <t>NCAAM: Princeton</t>
        </is>
      </c>
      <c r="D500" s="11">
        <f>IF(COUNTIF('Draft Board'!$B$3:$K$13,C500)&gt;0,"DRAFTED","")</f>
        <v/>
      </c>
    </row>
    <row r="501">
      <c r="A501" s="12" t="inlineStr">
        <is>
          <t>NCAAM</t>
        </is>
      </c>
      <c r="B501" s="12" t="inlineStr">
        <is>
          <t>Providence</t>
        </is>
      </c>
      <c r="C501" s="12" t="inlineStr">
        <is>
          <t>NCAAM: Providence</t>
        </is>
      </c>
      <c r="D501" s="11">
        <f>IF(COUNTIF('Draft Board'!$B$3:$K$13,C501)&gt;0,"DRAFTED","")</f>
        <v/>
      </c>
    </row>
    <row r="502">
      <c r="A502" s="12" t="inlineStr">
        <is>
          <t>NCAAM</t>
        </is>
      </c>
      <c r="B502" s="12" t="inlineStr">
        <is>
          <t>Purdue</t>
        </is>
      </c>
      <c r="C502" s="12" t="inlineStr">
        <is>
          <t>NCAAM: Purdue</t>
        </is>
      </c>
      <c r="D502" s="11">
        <f>IF(COUNTIF('Draft Board'!$B$3:$K$13,C502)&gt;0,"DRAFTED","")</f>
        <v/>
      </c>
    </row>
    <row r="503">
      <c r="A503" s="12" t="inlineStr">
        <is>
          <t>NCAAM</t>
        </is>
      </c>
      <c r="B503" s="12" t="inlineStr">
        <is>
          <t>Purdue Fort Wayne</t>
        </is>
      </c>
      <c r="C503" s="12" t="inlineStr">
        <is>
          <t>NCAAM: Purdue Fort Wayne</t>
        </is>
      </c>
      <c r="D503" s="11">
        <f>IF(COUNTIF('Draft Board'!$B$3:$K$13,C503)&gt;0,"DRAFTED","")</f>
        <v/>
      </c>
    </row>
    <row r="504">
      <c r="A504" s="12" t="inlineStr">
        <is>
          <t>NCAAM</t>
        </is>
      </c>
      <c r="B504" s="12" t="inlineStr">
        <is>
          <t>Queens (NC)</t>
        </is>
      </c>
      <c r="C504" s="12" t="inlineStr">
        <is>
          <t>NCAAM: Queens (NC)</t>
        </is>
      </c>
      <c r="D504" s="11">
        <f>IF(COUNTIF('Draft Board'!$B$3:$K$13,C504)&gt;0,"DRAFTED","")</f>
        <v/>
      </c>
    </row>
    <row r="505">
      <c r="A505" s="12" t="inlineStr">
        <is>
          <t>NCAAM</t>
        </is>
      </c>
      <c r="B505" s="12" t="inlineStr">
        <is>
          <t>Quinnipiac</t>
        </is>
      </c>
      <c r="C505" s="12" t="inlineStr">
        <is>
          <t>NCAAM: Quinnipiac</t>
        </is>
      </c>
      <c r="D505" s="11">
        <f>IF(COUNTIF('Draft Board'!$B$3:$K$13,C505)&gt;0,"DRAFTED","")</f>
        <v/>
      </c>
    </row>
    <row r="506">
      <c r="A506" s="12" t="inlineStr">
        <is>
          <t>NCAAM</t>
        </is>
      </c>
      <c r="B506" s="12" t="inlineStr">
        <is>
          <t>Radford</t>
        </is>
      </c>
      <c r="C506" s="12" t="inlineStr">
        <is>
          <t>NCAAM: Radford</t>
        </is>
      </c>
      <c r="D506" s="11">
        <f>IF(COUNTIF('Draft Board'!$B$3:$K$13,C506)&gt;0,"DRAFTED","")</f>
        <v/>
      </c>
    </row>
    <row r="507">
      <c r="A507" s="12" t="inlineStr">
        <is>
          <t>NCAAM</t>
        </is>
      </c>
      <c r="B507" s="12" t="inlineStr">
        <is>
          <t>Rhode Island</t>
        </is>
      </c>
      <c r="C507" s="12" t="inlineStr">
        <is>
          <t>NCAAM: Rhode Island</t>
        </is>
      </c>
      <c r="D507" s="11">
        <f>IF(COUNTIF('Draft Board'!$B$3:$K$13,C507)&gt;0,"DRAFTED","")</f>
        <v/>
      </c>
    </row>
    <row r="508">
      <c r="A508" s="12" t="inlineStr">
        <is>
          <t>NCAAM</t>
        </is>
      </c>
      <c r="B508" s="12" t="inlineStr">
        <is>
          <t>Rice</t>
        </is>
      </c>
      <c r="C508" s="12" t="inlineStr">
        <is>
          <t>NCAAM: Rice</t>
        </is>
      </c>
      <c r="D508" s="11">
        <f>IF(COUNTIF('Draft Board'!$B$3:$K$13,C508)&gt;0,"DRAFTED","")</f>
        <v/>
      </c>
    </row>
    <row r="509">
      <c r="A509" s="12" t="inlineStr">
        <is>
          <t>NCAAM</t>
        </is>
      </c>
      <c r="B509" s="12" t="inlineStr">
        <is>
          <t>Richmond</t>
        </is>
      </c>
      <c r="C509" s="12" t="inlineStr">
        <is>
          <t>NCAAM: Richmond</t>
        </is>
      </c>
      <c r="D509" s="11">
        <f>IF(COUNTIF('Draft Board'!$B$3:$K$13,C509)&gt;0,"DRAFTED","")</f>
        <v/>
      </c>
    </row>
    <row r="510">
      <c r="A510" s="12" t="inlineStr">
        <is>
          <t>NCAAM</t>
        </is>
      </c>
      <c r="B510" s="12" t="inlineStr">
        <is>
          <t>Rider</t>
        </is>
      </c>
      <c r="C510" s="12" t="inlineStr">
        <is>
          <t>NCAAM: Rider</t>
        </is>
      </c>
      <c r="D510" s="11">
        <f>IF(COUNTIF('Draft Board'!$B$3:$K$13,C510)&gt;0,"DRAFTED","")</f>
        <v/>
      </c>
    </row>
    <row r="511">
      <c r="A511" s="12" t="inlineStr">
        <is>
          <t>NCAAM</t>
        </is>
      </c>
      <c r="B511" s="12" t="inlineStr">
        <is>
          <t>Robert Morris</t>
        </is>
      </c>
      <c r="C511" s="12" t="inlineStr">
        <is>
          <t>NCAAM: Robert Morris</t>
        </is>
      </c>
      <c r="D511" s="11">
        <f>IF(COUNTIF('Draft Board'!$B$3:$K$13,C511)&gt;0,"DRAFTED","")</f>
        <v/>
      </c>
    </row>
    <row r="512">
      <c r="A512" s="12" t="inlineStr">
        <is>
          <t>NCAAM</t>
        </is>
      </c>
      <c r="B512" s="12" t="inlineStr">
        <is>
          <t>Rutgers</t>
        </is>
      </c>
      <c r="C512" s="12" t="inlineStr">
        <is>
          <t>NCAAM: Rutgers</t>
        </is>
      </c>
      <c r="D512" s="11">
        <f>IF(COUNTIF('Draft Board'!$B$3:$K$13,C512)&gt;0,"DRAFTED","")</f>
        <v/>
      </c>
    </row>
    <row r="513">
      <c r="A513" s="12" t="inlineStr">
        <is>
          <t>NCAAM</t>
        </is>
      </c>
      <c r="B513" s="12" t="inlineStr">
        <is>
          <t>Sacramento State</t>
        </is>
      </c>
      <c r="C513" s="12" t="inlineStr">
        <is>
          <t>NCAAM: Sacramento State</t>
        </is>
      </c>
      <c r="D513" s="11">
        <f>IF(COUNTIF('Draft Board'!$B$3:$K$13,C513)&gt;0,"DRAFTED","")</f>
        <v/>
      </c>
    </row>
    <row r="514">
      <c r="A514" s="12" t="inlineStr">
        <is>
          <t>NCAAM</t>
        </is>
      </c>
      <c r="B514" s="12" t="inlineStr">
        <is>
          <t>Sacred Heart</t>
        </is>
      </c>
      <c r="C514" s="12" t="inlineStr">
        <is>
          <t>NCAAM: Sacred Heart</t>
        </is>
      </c>
      <c r="D514" s="11">
        <f>IF(COUNTIF('Draft Board'!$B$3:$K$13,C514)&gt;0,"DRAFTED","")</f>
        <v/>
      </c>
    </row>
    <row r="515">
      <c r="A515" s="12" t="inlineStr">
        <is>
          <t>NCAAM</t>
        </is>
      </c>
      <c r="B515" s="12" t="inlineStr">
        <is>
          <t>Saint Joseph's</t>
        </is>
      </c>
      <c r="C515" s="12" t="inlineStr">
        <is>
          <t>NCAAM: Saint Joseph's</t>
        </is>
      </c>
      <c r="D515" s="11">
        <f>IF(COUNTIF('Draft Board'!$B$3:$K$13,C515)&gt;0,"DRAFTED","")</f>
        <v/>
      </c>
    </row>
    <row r="516">
      <c r="A516" s="12" t="inlineStr">
        <is>
          <t>NCAAM</t>
        </is>
      </c>
      <c r="B516" s="12" t="inlineStr">
        <is>
          <t>Saint Louis</t>
        </is>
      </c>
      <c r="C516" s="12" t="inlineStr">
        <is>
          <t>NCAAM: Saint Louis</t>
        </is>
      </c>
      <c r="D516" s="11">
        <f>IF(COUNTIF('Draft Board'!$B$3:$K$13,C516)&gt;0,"DRAFTED","")</f>
        <v/>
      </c>
    </row>
    <row r="517">
      <c r="A517" s="12" t="inlineStr">
        <is>
          <t>NCAAM</t>
        </is>
      </c>
      <c r="B517" s="12" t="inlineStr">
        <is>
          <t>Saint Mary's (CA)</t>
        </is>
      </c>
      <c r="C517" s="12" t="inlineStr">
        <is>
          <t>NCAAM: Saint Mary's (CA)</t>
        </is>
      </c>
      <c r="D517" s="11">
        <f>IF(COUNTIF('Draft Board'!$B$3:$K$13,C517)&gt;0,"DRAFTED","")</f>
        <v/>
      </c>
    </row>
    <row r="518">
      <c r="A518" s="12" t="inlineStr">
        <is>
          <t>NCAAM</t>
        </is>
      </c>
      <c r="B518" s="12" t="inlineStr">
        <is>
          <t>Saint Peter's</t>
        </is>
      </c>
      <c r="C518" s="12" t="inlineStr">
        <is>
          <t>NCAAM: Saint Peter's</t>
        </is>
      </c>
      <c r="D518" s="11">
        <f>IF(COUNTIF('Draft Board'!$B$3:$K$13,C518)&gt;0,"DRAFTED","")</f>
        <v/>
      </c>
    </row>
    <row r="519">
      <c r="A519" s="12" t="inlineStr">
        <is>
          <t>NCAAM</t>
        </is>
      </c>
      <c r="B519" s="12" t="inlineStr">
        <is>
          <t>Sam Houston</t>
        </is>
      </c>
      <c r="C519" s="12" t="inlineStr">
        <is>
          <t>NCAAM: Sam Houston</t>
        </is>
      </c>
      <c r="D519" s="11">
        <f>IF(COUNTIF('Draft Board'!$B$3:$K$13,C519)&gt;0,"DRAFTED","")</f>
        <v/>
      </c>
    </row>
    <row r="520">
      <c r="A520" s="12" t="inlineStr">
        <is>
          <t>NCAAM</t>
        </is>
      </c>
      <c r="B520" s="12" t="inlineStr">
        <is>
          <t>Samford</t>
        </is>
      </c>
      <c r="C520" s="12" t="inlineStr">
        <is>
          <t>NCAAM: Samford</t>
        </is>
      </c>
      <c r="D520" s="11">
        <f>IF(COUNTIF('Draft Board'!$B$3:$K$13,C520)&gt;0,"DRAFTED","")</f>
        <v/>
      </c>
    </row>
    <row r="521">
      <c r="A521" s="12" t="inlineStr">
        <is>
          <t>NCAAM</t>
        </is>
      </c>
      <c r="B521" s="12" t="inlineStr">
        <is>
          <t>San Diego</t>
        </is>
      </c>
      <c r="C521" s="12" t="inlineStr">
        <is>
          <t>NCAAM: San Diego</t>
        </is>
      </c>
      <c r="D521" s="11">
        <f>IF(COUNTIF('Draft Board'!$B$3:$K$13,C521)&gt;0,"DRAFTED","")</f>
        <v/>
      </c>
    </row>
    <row r="522">
      <c r="A522" s="12" t="inlineStr">
        <is>
          <t>NCAAM</t>
        </is>
      </c>
      <c r="B522" s="12" t="inlineStr">
        <is>
          <t>San Diego State</t>
        </is>
      </c>
      <c r="C522" s="12" t="inlineStr">
        <is>
          <t>NCAAM: San Diego State</t>
        </is>
      </c>
      <c r="D522" s="11">
        <f>IF(COUNTIF('Draft Board'!$B$3:$K$13,C522)&gt;0,"DRAFTED","")</f>
        <v/>
      </c>
    </row>
    <row r="523">
      <c r="A523" s="12" t="inlineStr">
        <is>
          <t>NCAAM</t>
        </is>
      </c>
      <c r="B523" s="12" t="inlineStr">
        <is>
          <t>San Francisco</t>
        </is>
      </c>
      <c r="C523" s="12" t="inlineStr">
        <is>
          <t>NCAAM: San Francisco</t>
        </is>
      </c>
      <c r="D523" s="11">
        <f>IF(COUNTIF('Draft Board'!$B$3:$K$13,C523)&gt;0,"DRAFTED","")</f>
        <v/>
      </c>
    </row>
    <row r="524">
      <c r="A524" s="12" t="inlineStr">
        <is>
          <t>NCAAM</t>
        </is>
      </c>
      <c r="B524" s="12" t="inlineStr">
        <is>
          <t>San Jose State</t>
        </is>
      </c>
      <c r="C524" s="12" t="inlineStr">
        <is>
          <t>NCAAM: San Jose State</t>
        </is>
      </c>
      <c r="D524" s="11">
        <f>IF(COUNTIF('Draft Board'!$B$3:$K$13,C524)&gt;0,"DRAFTED","")</f>
        <v/>
      </c>
    </row>
    <row r="525">
      <c r="A525" s="12" t="inlineStr">
        <is>
          <t>NCAAM</t>
        </is>
      </c>
      <c r="B525" s="12" t="inlineStr">
        <is>
          <t>Santa Clara</t>
        </is>
      </c>
      <c r="C525" s="12" t="inlineStr">
        <is>
          <t>NCAAM: Santa Clara</t>
        </is>
      </c>
      <c r="D525" s="11">
        <f>IF(COUNTIF('Draft Board'!$B$3:$K$13,C525)&gt;0,"DRAFTED","")</f>
        <v/>
      </c>
    </row>
    <row r="526">
      <c r="A526" s="12" t="inlineStr">
        <is>
          <t>NCAAM</t>
        </is>
      </c>
      <c r="B526" s="12" t="inlineStr">
        <is>
          <t>Seattle</t>
        </is>
      </c>
      <c r="C526" s="12" t="inlineStr">
        <is>
          <t>NCAAM: Seattle</t>
        </is>
      </c>
      <c r="D526" s="11">
        <f>IF(COUNTIF('Draft Board'!$B$3:$K$13,C526)&gt;0,"DRAFTED","")</f>
        <v/>
      </c>
    </row>
    <row r="527">
      <c r="A527" s="12" t="inlineStr">
        <is>
          <t>NCAAM</t>
        </is>
      </c>
      <c r="B527" s="12" t="inlineStr">
        <is>
          <t>Seton Hall</t>
        </is>
      </c>
      <c r="C527" s="12" t="inlineStr">
        <is>
          <t>NCAAM: Seton Hall</t>
        </is>
      </c>
      <c r="D527" s="11">
        <f>IF(COUNTIF('Draft Board'!$B$3:$K$13,C527)&gt;0,"DRAFTED","")</f>
        <v/>
      </c>
    </row>
    <row r="528">
      <c r="A528" s="12" t="inlineStr">
        <is>
          <t>NCAAM</t>
        </is>
      </c>
      <c r="B528" s="12" t="inlineStr">
        <is>
          <t>Siena</t>
        </is>
      </c>
      <c r="C528" s="12" t="inlineStr">
        <is>
          <t>NCAAM: Siena</t>
        </is>
      </c>
      <c r="D528" s="11">
        <f>IF(COUNTIF('Draft Board'!$B$3:$K$13,C528)&gt;0,"DRAFTED","")</f>
        <v/>
      </c>
    </row>
    <row r="529">
      <c r="A529" s="12" t="inlineStr">
        <is>
          <t>NCAAM</t>
        </is>
      </c>
      <c r="B529" s="12" t="inlineStr">
        <is>
          <t>SIU Edwardsville</t>
        </is>
      </c>
      <c r="C529" s="12" t="inlineStr">
        <is>
          <t>NCAAM: SIU Edwardsville</t>
        </is>
      </c>
      <c r="D529" s="11">
        <f>IF(COUNTIF('Draft Board'!$B$3:$K$13,C529)&gt;0,"DRAFTED","")</f>
        <v/>
      </c>
    </row>
    <row r="530">
      <c r="A530" s="12" t="inlineStr">
        <is>
          <t>NCAAM</t>
        </is>
      </c>
      <c r="B530" s="12" t="inlineStr">
        <is>
          <t>SMU</t>
        </is>
      </c>
      <c r="C530" s="12" t="inlineStr">
        <is>
          <t>NCAAM: SMU</t>
        </is>
      </c>
      <c r="D530" s="11">
        <f>IF(COUNTIF('Draft Board'!$B$3:$K$13,C530)&gt;0,"DRAFTED","")</f>
        <v/>
      </c>
    </row>
    <row r="531">
      <c r="A531" s="12" t="inlineStr">
        <is>
          <t>NCAAM</t>
        </is>
      </c>
      <c r="B531" s="12" t="inlineStr">
        <is>
          <t>South Alabama</t>
        </is>
      </c>
      <c r="C531" s="12" t="inlineStr">
        <is>
          <t>NCAAM: South Alabama</t>
        </is>
      </c>
      <c r="D531" s="11">
        <f>IF(COUNTIF('Draft Board'!$B$3:$K$13,C531)&gt;0,"DRAFTED","")</f>
        <v/>
      </c>
    </row>
    <row r="532">
      <c r="A532" s="12" t="inlineStr">
        <is>
          <t>NCAAM</t>
        </is>
      </c>
      <c r="B532" s="12" t="inlineStr">
        <is>
          <t>South Carolina</t>
        </is>
      </c>
      <c r="C532" s="12" t="inlineStr">
        <is>
          <t>NCAAM: South Carolina</t>
        </is>
      </c>
      <c r="D532" s="11">
        <f>IF(COUNTIF('Draft Board'!$B$3:$K$13,C532)&gt;0,"DRAFTED","")</f>
        <v/>
      </c>
    </row>
    <row r="533">
      <c r="A533" s="12" t="inlineStr">
        <is>
          <t>NCAAM</t>
        </is>
      </c>
      <c r="B533" s="12" t="inlineStr">
        <is>
          <t>South Carolina State</t>
        </is>
      </c>
      <c r="C533" s="12" t="inlineStr">
        <is>
          <t>NCAAM: South Carolina State</t>
        </is>
      </c>
      <c r="D533" s="11">
        <f>IF(COUNTIF('Draft Board'!$B$3:$K$13,C533)&gt;0,"DRAFTED","")</f>
        <v/>
      </c>
    </row>
    <row r="534">
      <c r="A534" s="12" t="inlineStr">
        <is>
          <t>NCAAM</t>
        </is>
      </c>
      <c r="B534" s="12" t="inlineStr">
        <is>
          <t>South Dakota</t>
        </is>
      </c>
      <c r="C534" s="12" t="inlineStr">
        <is>
          <t>NCAAM: South Dakota</t>
        </is>
      </c>
      <c r="D534" s="11">
        <f>IF(COUNTIF('Draft Board'!$B$3:$K$13,C534)&gt;0,"DRAFTED","")</f>
        <v/>
      </c>
    </row>
    <row r="535">
      <c r="A535" s="12" t="inlineStr">
        <is>
          <t>NCAAM</t>
        </is>
      </c>
      <c r="B535" s="12" t="inlineStr">
        <is>
          <t>South Dakota State</t>
        </is>
      </c>
      <c r="C535" s="12" t="inlineStr">
        <is>
          <t>NCAAM: South Dakota State</t>
        </is>
      </c>
      <c r="D535" s="11">
        <f>IF(COUNTIF('Draft Board'!$B$3:$K$13,C535)&gt;0,"DRAFTED","")</f>
        <v/>
      </c>
    </row>
    <row r="536">
      <c r="A536" s="12" t="inlineStr">
        <is>
          <t>NCAAM</t>
        </is>
      </c>
      <c r="B536" s="12" t="inlineStr">
        <is>
          <t>South Florida</t>
        </is>
      </c>
      <c r="C536" s="12" t="inlineStr">
        <is>
          <t>NCAAM: South Florida</t>
        </is>
      </c>
      <c r="D536" s="11">
        <f>IF(COUNTIF('Draft Board'!$B$3:$K$13,C536)&gt;0,"DRAFTED","")</f>
        <v/>
      </c>
    </row>
    <row r="537">
      <c r="A537" s="12" t="inlineStr">
        <is>
          <t>NCAAM</t>
        </is>
      </c>
      <c r="B537" s="12" t="inlineStr">
        <is>
          <t>Southeast Missouri State</t>
        </is>
      </c>
      <c r="C537" s="12" t="inlineStr">
        <is>
          <t>NCAAM: Southeast Missouri State</t>
        </is>
      </c>
      <c r="D537" s="11">
        <f>IF(COUNTIF('Draft Board'!$B$3:$K$13,C537)&gt;0,"DRAFTED","")</f>
        <v/>
      </c>
    </row>
    <row r="538">
      <c r="A538" s="12" t="inlineStr">
        <is>
          <t>NCAAM</t>
        </is>
      </c>
      <c r="B538" s="12" t="inlineStr">
        <is>
          <t>Southeastern Louisiana</t>
        </is>
      </c>
      <c r="C538" s="12" t="inlineStr">
        <is>
          <t>NCAAM: Southeastern Louisiana</t>
        </is>
      </c>
      <c r="D538" s="11">
        <f>IF(COUNTIF('Draft Board'!$B$3:$K$13,C538)&gt;0,"DRAFTED","")</f>
        <v/>
      </c>
    </row>
    <row r="539">
      <c r="A539" s="12" t="inlineStr">
        <is>
          <t>NCAAM</t>
        </is>
      </c>
      <c r="B539" s="12" t="inlineStr">
        <is>
          <t>Southern</t>
        </is>
      </c>
      <c r="C539" s="12" t="inlineStr">
        <is>
          <t>NCAAM: Southern</t>
        </is>
      </c>
      <c r="D539" s="11">
        <f>IF(COUNTIF('Draft Board'!$B$3:$K$13,C539)&gt;0,"DRAFTED","")</f>
        <v/>
      </c>
    </row>
    <row r="540">
      <c r="A540" s="12" t="inlineStr">
        <is>
          <t>NCAAM</t>
        </is>
      </c>
      <c r="B540" s="12" t="inlineStr">
        <is>
          <t>Southern Illinois</t>
        </is>
      </c>
      <c r="C540" s="12" t="inlineStr">
        <is>
          <t>NCAAM: Southern Illinois</t>
        </is>
      </c>
      <c r="D540" s="11">
        <f>IF(COUNTIF('Draft Board'!$B$3:$K$13,C540)&gt;0,"DRAFTED","")</f>
        <v/>
      </c>
    </row>
    <row r="541">
      <c r="A541" s="12" t="inlineStr">
        <is>
          <t>NCAAM</t>
        </is>
      </c>
      <c r="B541" s="12" t="inlineStr">
        <is>
          <t>Southern Indiana</t>
        </is>
      </c>
      <c r="C541" s="12" t="inlineStr">
        <is>
          <t>NCAAM: Southern Indiana</t>
        </is>
      </c>
      <c r="D541" s="11">
        <f>IF(COUNTIF('Draft Board'!$B$3:$K$13,C541)&gt;0,"DRAFTED","")</f>
        <v/>
      </c>
    </row>
    <row r="542">
      <c r="A542" s="12" t="inlineStr">
        <is>
          <t>NCAAM</t>
        </is>
      </c>
      <c r="B542" s="12" t="inlineStr">
        <is>
          <t>Southern Miss</t>
        </is>
      </c>
      <c r="C542" s="12" t="inlineStr">
        <is>
          <t>NCAAM: Southern Miss</t>
        </is>
      </c>
      <c r="D542" s="11">
        <f>IF(COUNTIF('Draft Board'!$B$3:$K$13,C542)&gt;0,"DRAFTED","")</f>
        <v/>
      </c>
    </row>
    <row r="543">
      <c r="A543" s="12" t="inlineStr">
        <is>
          <t>NCAAM</t>
        </is>
      </c>
      <c r="B543" s="12" t="inlineStr">
        <is>
          <t>Southern Utah</t>
        </is>
      </c>
      <c r="C543" s="12" t="inlineStr">
        <is>
          <t>NCAAM: Southern Utah</t>
        </is>
      </c>
      <c r="D543" s="11">
        <f>IF(COUNTIF('Draft Board'!$B$3:$K$13,C543)&gt;0,"DRAFTED","")</f>
        <v/>
      </c>
    </row>
    <row r="544">
      <c r="A544" s="12" t="inlineStr">
        <is>
          <t>NCAAM</t>
        </is>
      </c>
      <c r="B544" s="12" t="inlineStr">
        <is>
          <t>St. Bonaventure</t>
        </is>
      </c>
      <c r="C544" s="12" t="inlineStr">
        <is>
          <t>NCAAM: St. Bonaventure</t>
        </is>
      </c>
      <c r="D544" s="11">
        <f>IF(COUNTIF('Draft Board'!$B$3:$K$13,C544)&gt;0,"DRAFTED","")</f>
        <v/>
      </c>
    </row>
    <row r="545">
      <c r="A545" s="12" t="inlineStr">
        <is>
          <t>NCAAM</t>
        </is>
      </c>
      <c r="B545" s="12" t="inlineStr">
        <is>
          <t>St. John's</t>
        </is>
      </c>
      <c r="C545" s="12" t="inlineStr">
        <is>
          <t>NCAAM: St. John's</t>
        </is>
      </c>
      <c r="D545" s="11">
        <f>IF(COUNTIF('Draft Board'!$B$3:$K$13,C545)&gt;0,"DRAFTED","")</f>
        <v/>
      </c>
    </row>
    <row r="546">
      <c r="A546" s="12" t="inlineStr">
        <is>
          <t>NCAAM</t>
        </is>
      </c>
      <c r="B546" s="12" t="inlineStr">
        <is>
          <t>St. Thomas (MN)</t>
        </is>
      </c>
      <c r="C546" s="12" t="inlineStr">
        <is>
          <t>NCAAM: St. Thomas (MN)</t>
        </is>
      </c>
      <c r="D546" s="11">
        <f>IF(COUNTIF('Draft Board'!$B$3:$K$13,C546)&gt;0,"DRAFTED","")</f>
        <v/>
      </c>
    </row>
    <row r="547">
      <c r="A547" s="12" t="inlineStr">
        <is>
          <t>NCAAM</t>
        </is>
      </c>
      <c r="B547" s="12" t="inlineStr">
        <is>
          <t>Stanford</t>
        </is>
      </c>
      <c r="C547" s="12" t="inlineStr">
        <is>
          <t>NCAAM: Stanford</t>
        </is>
      </c>
      <c r="D547" s="11">
        <f>IF(COUNTIF('Draft Board'!$B$3:$K$13,C547)&gt;0,"DRAFTED","")</f>
        <v/>
      </c>
    </row>
    <row r="548">
      <c r="A548" s="12" t="inlineStr">
        <is>
          <t>NCAAM</t>
        </is>
      </c>
      <c r="B548" s="12" t="inlineStr">
        <is>
          <t>Stephen F. Austin</t>
        </is>
      </c>
      <c r="C548" s="12" t="inlineStr">
        <is>
          <t>NCAAM: Stephen F. Austin</t>
        </is>
      </c>
      <c r="D548" s="11">
        <f>IF(COUNTIF('Draft Board'!$B$3:$K$13,C548)&gt;0,"DRAFTED","")</f>
        <v/>
      </c>
    </row>
    <row r="549">
      <c r="A549" s="12" t="inlineStr">
        <is>
          <t>NCAAM</t>
        </is>
      </c>
      <c r="B549" s="12" t="inlineStr">
        <is>
          <t>Stetson</t>
        </is>
      </c>
      <c r="C549" s="12" t="inlineStr">
        <is>
          <t>NCAAM: Stetson</t>
        </is>
      </c>
      <c r="D549" s="11">
        <f>IF(COUNTIF('Draft Board'!$B$3:$K$13,C549)&gt;0,"DRAFTED","")</f>
        <v/>
      </c>
    </row>
    <row r="550">
      <c r="A550" s="12" t="inlineStr">
        <is>
          <t>NCAAM</t>
        </is>
      </c>
      <c r="B550" s="12" t="inlineStr">
        <is>
          <t>Stonehill</t>
        </is>
      </c>
      <c r="C550" s="12" t="inlineStr">
        <is>
          <t>NCAAM: Stonehill</t>
        </is>
      </c>
      <c r="D550" s="11">
        <f>IF(COUNTIF('Draft Board'!$B$3:$K$13,C550)&gt;0,"DRAFTED","")</f>
        <v/>
      </c>
    </row>
    <row r="551">
      <c r="A551" s="12" t="inlineStr">
        <is>
          <t>NCAAM</t>
        </is>
      </c>
      <c r="B551" s="12" t="inlineStr">
        <is>
          <t>Stony Brook</t>
        </is>
      </c>
      <c r="C551" s="12" t="inlineStr">
        <is>
          <t>NCAAM: Stony Brook</t>
        </is>
      </c>
      <c r="D551" s="11">
        <f>IF(COUNTIF('Draft Board'!$B$3:$K$13,C551)&gt;0,"DRAFTED","")</f>
        <v/>
      </c>
    </row>
    <row r="552">
      <c r="A552" s="12" t="inlineStr">
        <is>
          <t>NCAAM</t>
        </is>
      </c>
      <c r="B552" s="12" t="inlineStr">
        <is>
          <t>Syracuse</t>
        </is>
      </c>
      <c r="C552" s="12" t="inlineStr">
        <is>
          <t>NCAAM: Syracuse</t>
        </is>
      </c>
      <c r="D552" s="11">
        <f>IF(COUNTIF('Draft Board'!$B$3:$K$13,C552)&gt;0,"DRAFTED","")</f>
        <v/>
      </c>
    </row>
    <row r="553">
      <c r="A553" s="12" t="inlineStr">
        <is>
          <t>NCAAM</t>
        </is>
      </c>
      <c r="B553" s="12" t="inlineStr">
        <is>
          <t>Tarleton State</t>
        </is>
      </c>
      <c r="C553" s="12" t="inlineStr">
        <is>
          <t>NCAAM: Tarleton State</t>
        </is>
      </c>
      <c r="D553" s="11">
        <f>IF(COUNTIF('Draft Board'!$B$3:$K$13,C553)&gt;0,"DRAFTED","")</f>
        <v/>
      </c>
    </row>
    <row r="554">
      <c r="A554" s="12" t="inlineStr">
        <is>
          <t>NCAAM</t>
        </is>
      </c>
      <c r="B554" s="12" t="inlineStr">
        <is>
          <t>TCU</t>
        </is>
      </c>
      <c r="C554" s="12" t="inlineStr">
        <is>
          <t>NCAAM: TCU</t>
        </is>
      </c>
      <c r="D554" s="11">
        <f>IF(COUNTIF('Draft Board'!$B$3:$K$13,C554)&gt;0,"DRAFTED","")</f>
        <v/>
      </c>
    </row>
    <row r="555">
      <c r="A555" s="12" t="inlineStr">
        <is>
          <t>NCAAM</t>
        </is>
      </c>
      <c r="B555" s="12" t="inlineStr">
        <is>
          <t>Temple</t>
        </is>
      </c>
      <c r="C555" s="12" t="inlineStr">
        <is>
          <t>NCAAM: Temple</t>
        </is>
      </c>
      <c r="D555" s="11">
        <f>IF(COUNTIF('Draft Board'!$B$3:$K$13,C555)&gt;0,"DRAFTED","")</f>
        <v/>
      </c>
    </row>
    <row r="556">
      <c r="A556" s="12" t="inlineStr">
        <is>
          <t>NCAAM</t>
        </is>
      </c>
      <c r="B556" s="12" t="inlineStr">
        <is>
          <t>Tennessee</t>
        </is>
      </c>
      <c r="C556" s="12" t="inlineStr">
        <is>
          <t>NCAAM: Tennessee</t>
        </is>
      </c>
      <c r="D556" s="11">
        <f>IF(COUNTIF('Draft Board'!$B$3:$K$13,C556)&gt;0,"DRAFTED","")</f>
        <v/>
      </c>
    </row>
    <row r="557">
      <c r="A557" s="12" t="inlineStr">
        <is>
          <t>NCAAM</t>
        </is>
      </c>
      <c r="B557" s="12" t="inlineStr">
        <is>
          <t>Tennessee State</t>
        </is>
      </c>
      <c r="C557" s="12" t="inlineStr">
        <is>
          <t>NCAAM: Tennessee State</t>
        </is>
      </c>
      <c r="D557" s="11">
        <f>IF(COUNTIF('Draft Board'!$B$3:$K$13,C557)&gt;0,"DRAFTED","")</f>
        <v/>
      </c>
    </row>
    <row r="558">
      <c r="A558" s="12" t="inlineStr">
        <is>
          <t>NCAAM</t>
        </is>
      </c>
      <c r="B558" s="12" t="inlineStr">
        <is>
          <t>Tennessee Tech</t>
        </is>
      </c>
      <c r="C558" s="12" t="inlineStr">
        <is>
          <t>NCAAM: Tennessee Tech</t>
        </is>
      </c>
      <c r="D558" s="11">
        <f>IF(COUNTIF('Draft Board'!$B$3:$K$13,C558)&gt;0,"DRAFTED","")</f>
        <v/>
      </c>
    </row>
    <row r="559">
      <c r="A559" s="12" t="inlineStr">
        <is>
          <t>NCAAM</t>
        </is>
      </c>
      <c r="B559" s="12" t="inlineStr">
        <is>
          <t>Texas</t>
        </is>
      </c>
      <c r="C559" s="12" t="inlineStr">
        <is>
          <t>NCAAM: Texas</t>
        </is>
      </c>
      <c r="D559" s="11">
        <f>IF(COUNTIF('Draft Board'!$B$3:$K$13,C559)&gt;0,"DRAFTED","")</f>
        <v/>
      </c>
    </row>
    <row r="560">
      <c r="A560" s="12" t="inlineStr">
        <is>
          <t>NCAAM</t>
        </is>
      </c>
      <c r="B560" s="12" t="inlineStr">
        <is>
          <t>Texas A&amp;M</t>
        </is>
      </c>
      <c r="C560" s="12" t="inlineStr">
        <is>
          <t>NCAAM: Texas A&amp;M</t>
        </is>
      </c>
      <c r="D560" s="11">
        <f>IF(COUNTIF('Draft Board'!$B$3:$K$13,C560)&gt;0,"DRAFTED","")</f>
        <v/>
      </c>
    </row>
    <row r="561">
      <c r="A561" s="12" t="inlineStr">
        <is>
          <t>NCAAM</t>
        </is>
      </c>
      <c r="B561" s="12" t="inlineStr">
        <is>
          <t>Texas A&amp;M-Corpus Christi</t>
        </is>
      </c>
      <c r="C561" s="12" t="inlineStr">
        <is>
          <t>NCAAM: Texas A&amp;M-Corpus Christi</t>
        </is>
      </c>
      <c r="D561" s="11">
        <f>IF(COUNTIF('Draft Board'!$B$3:$K$13,C561)&gt;0,"DRAFTED","")</f>
        <v/>
      </c>
    </row>
    <row r="562">
      <c r="A562" s="12" t="inlineStr">
        <is>
          <t>NCAAM</t>
        </is>
      </c>
      <c r="B562" s="12" t="inlineStr">
        <is>
          <t>Texas Southern</t>
        </is>
      </c>
      <c r="C562" s="12" t="inlineStr">
        <is>
          <t>NCAAM: Texas Southern</t>
        </is>
      </c>
      <c r="D562" s="11">
        <f>IF(COUNTIF('Draft Board'!$B$3:$K$13,C562)&gt;0,"DRAFTED","")</f>
        <v/>
      </c>
    </row>
    <row r="563">
      <c r="A563" s="12" t="inlineStr">
        <is>
          <t>NCAAM</t>
        </is>
      </c>
      <c r="B563" s="12" t="inlineStr">
        <is>
          <t>Texas State</t>
        </is>
      </c>
      <c r="C563" s="12" t="inlineStr">
        <is>
          <t>NCAAM: Texas State</t>
        </is>
      </c>
      <c r="D563" s="11">
        <f>IF(COUNTIF('Draft Board'!$B$3:$K$13,C563)&gt;0,"DRAFTED","")</f>
        <v/>
      </c>
    </row>
    <row r="564">
      <c r="A564" s="12" t="inlineStr">
        <is>
          <t>NCAAM</t>
        </is>
      </c>
      <c r="B564" s="12" t="inlineStr">
        <is>
          <t>Texas Tech</t>
        </is>
      </c>
      <c r="C564" s="12" t="inlineStr">
        <is>
          <t>NCAAM: Texas Tech</t>
        </is>
      </c>
      <c r="D564" s="11">
        <f>IF(COUNTIF('Draft Board'!$B$3:$K$13,C564)&gt;0,"DRAFTED","")</f>
        <v/>
      </c>
    </row>
    <row r="565">
      <c r="A565" s="12" t="inlineStr">
        <is>
          <t>NCAAM</t>
        </is>
      </c>
      <c r="B565" s="12" t="inlineStr">
        <is>
          <t>Toledo</t>
        </is>
      </c>
      <c r="C565" s="12" t="inlineStr">
        <is>
          <t>NCAAM: Toledo</t>
        </is>
      </c>
      <c r="D565" s="11">
        <f>IF(COUNTIF('Draft Board'!$B$3:$K$13,C565)&gt;0,"DRAFTED","")</f>
        <v/>
      </c>
    </row>
    <row r="566">
      <c r="A566" s="12" t="inlineStr">
        <is>
          <t>NCAAM</t>
        </is>
      </c>
      <c r="B566" s="12" t="inlineStr">
        <is>
          <t>Towson</t>
        </is>
      </c>
      <c r="C566" s="12" t="inlineStr">
        <is>
          <t>NCAAM: Towson</t>
        </is>
      </c>
      <c r="D566" s="11">
        <f>IF(COUNTIF('Draft Board'!$B$3:$K$13,C566)&gt;0,"DRAFTED","")</f>
        <v/>
      </c>
    </row>
    <row r="567">
      <c r="A567" s="12" t="inlineStr">
        <is>
          <t>NCAAM</t>
        </is>
      </c>
      <c r="B567" s="12" t="inlineStr">
        <is>
          <t>Troy</t>
        </is>
      </c>
      <c r="C567" s="12" t="inlineStr">
        <is>
          <t>NCAAM: Troy</t>
        </is>
      </c>
      <c r="D567" s="11">
        <f>IF(COUNTIF('Draft Board'!$B$3:$K$13,C567)&gt;0,"DRAFTED","")</f>
        <v/>
      </c>
    </row>
    <row r="568">
      <c r="A568" s="12" t="inlineStr">
        <is>
          <t>NCAAM</t>
        </is>
      </c>
      <c r="B568" s="12" t="inlineStr">
        <is>
          <t>Tulane</t>
        </is>
      </c>
      <c r="C568" s="12" t="inlineStr">
        <is>
          <t>NCAAM: Tulane</t>
        </is>
      </c>
      <c r="D568" s="11">
        <f>IF(COUNTIF('Draft Board'!$B$3:$K$13,C568)&gt;0,"DRAFTED","")</f>
        <v/>
      </c>
    </row>
    <row r="569">
      <c r="A569" s="12" t="inlineStr">
        <is>
          <t>NCAAM</t>
        </is>
      </c>
      <c r="B569" s="12" t="inlineStr">
        <is>
          <t>Tulsa</t>
        </is>
      </c>
      <c r="C569" s="12" t="inlineStr">
        <is>
          <t>NCAAM: Tulsa</t>
        </is>
      </c>
      <c r="D569" s="11">
        <f>IF(COUNTIF('Draft Board'!$B$3:$K$13,C569)&gt;0,"DRAFTED","")</f>
        <v/>
      </c>
    </row>
    <row r="570">
      <c r="A570" s="12" t="inlineStr">
        <is>
          <t>NCAAM</t>
        </is>
      </c>
      <c r="B570" s="12" t="inlineStr">
        <is>
          <t>UAB</t>
        </is>
      </c>
      <c r="C570" s="12" t="inlineStr">
        <is>
          <t>NCAAM: UAB</t>
        </is>
      </c>
      <c r="D570" s="11">
        <f>IF(COUNTIF('Draft Board'!$B$3:$K$13,C570)&gt;0,"DRAFTED","")</f>
        <v/>
      </c>
    </row>
    <row r="571">
      <c r="A571" s="12" t="inlineStr">
        <is>
          <t>NCAAM</t>
        </is>
      </c>
      <c r="B571" s="12" t="inlineStr">
        <is>
          <t>UC Davis</t>
        </is>
      </c>
      <c r="C571" s="12" t="inlineStr">
        <is>
          <t>NCAAM: UC Davis</t>
        </is>
      </c>
      <c r="D571" s="11">
        <f>IF(COUNTIF('Draft Board'!$B$3:$K$13,C571)&gt;0,"DRAFTED","")</f>
        <v/>
      </c>
    </row>
    <row r="572">
      <c r="A572" s="12" t="inlineStr">
        <is>
          <t>NCAAM</t>
        </is>
      </c>
      <c r="B572" s="12" t="inlineStr">
        <is>
          <t>UC Irvine</t>
        </is>
      </c>
      <c r="C572" s="12" t="inlineStr">
        <is>
          <t>NCAAM: UC Irvine</t>
        </is>
      </c>
      <c r="D572" s="11">
        <f>IF(COUNTIF('Draft Board'!$B$3:$K$13,C572)&gt;0,"DRAFTED","")</f>
        <v/>
      </c>
    </row>
    <row r="573">
      <c r="A573" s="12" t="inlineStr">
        <is>
          <t>NCAAM</t>
        </is>
      </c>
      <c r="B573" s="12" t="inlineStr">
        <is>
          <t>UC Riverside</t>
        </is>
      </c>
      <c r="C573" s="12" t="inlineStr">
        <is>
          <t>NCAAM: UC Riverside</t>
        </is>
      </c>
      <c r="D573" s="11">
        <f>IF(COUNTIF('Draft Board'!$B$3:$K$13,C573)&gt;0,"DRAFTED","")</f>
        <v/>
      </c>
    </row>
    <row r="574">
      <c r="A574" s="12" t="inlineStr">
        <is>
          <t>NCAAM</t>
        </is>
      </c>
      <c r="B574" s="12" t="inlineStr">
        <is>
          <t>UC San Diego</t>
        </is>
      </c>
      <c r="C574" s="12" t="inlineStr">
        <is>
          <t>NCAAM: UC San Diego</t>
        </is>
      </c>
      <c r="D574" s="11">
        <f>IF(COUNTIF('Draft Board'!$B$3:$K$13,C574)&gt;0,"DRAFTED","")</f>
        <v/>
      </c>
    </row>
    <row r="575">
      <c r="A575" s="12" t="inlineStr">
        <is>
          <t>NCAAM</t>
        </is>
      </c>
      <c r="B575" s="12" t="inlineStr">
        <is>
          <t>UC Santa Barbara</t>
        </is>
      </c>
      <c r="C575" s="12" t="inlineStr">
        <is>
          <t>NCAAM: UC Santa Barbara</t>
        </is>
      </c>
      <c r="D575" s="11">
        <f>IF(COUNTIF('Draft Board'!$B$3:$K$13,C575)&gt;0,"DRAFTED","")</f>
        <v/>
      </c>
    </row>
    <row r="576">
      <c r="A576" s="12" t="inlineStr">
        <is>
          <t>NCAAM</t>
        </is>
      </c>
      <c r="B576" s="12" t="inlineStr">
        <is>
          <t>UCF</t>
        </is>
      </c>
      <c r="C576" s="12" t="inlineStr">
        <is>
          <t>NCAAM: UCF</t>
        </is>
      </c>
      <c r="D576" s="11">
        <f>IF(COUNTIF('Draft Board'!$B$3:$K$13,C576)&gt;0,"DRAFTED","")</f>
        <v/>
      </c>
    </row>
    <row r="577">
      <c r="A577" s="12" t="inlineStr">
        <is>
          <t>NCAAM</t>
        </is>
      </c>
      <c r="B577" s="12" t="inlineStr">
        <is>
          <t>UCLA</t>
        </is>
      </c>
      <c r="C577" s="12" t="inlineStr">
        <is>
          <t>NCAAM: UCLA</t>
        </is>
      </c>
      <c r="D577" s="11">
        <f>IF(COUNTIF('Draft Board'!$B$3:$K$13,C577)&gt;0,"DRAFTED","")</f>
        <v/>
      </c>
    </row>
    <row r="578">
      <c r="A578" s="12" t="inlineStr">
        <is>
          <t>NCAAM</t>
        </is>
      </c>
      <c r="B578" s="12" t="inlineStr">
        <is>
          <t>UConn</t>
        </is>
      </c>
      <c r="C578" s="12" t="inlineStr">
        <is>
          <t>NCAAM: UConn</t>
        </is>
      </c>
      <c r="D578" s="11">
        <f>IF(COUNTIF('Draft Board'!$B$3:$K$13,C578)&gt;0,"DRAFTED","")</f>
        <v/>
      </c>
    </row>
    <row r="579">
      <c r="A579" s="12" t="inlineStr">
        <is>
          <t>NCAAM</t>
        </is>
      </c>
      <c r="B579" s="12" t="inlineStr">
        <is>
          <t>UIC</t>
        </is>
      </c>
      <c r="C579" s="12" t="inlineStr">
        <is>
          <t>NCAAM: UIC</t>
        </is>
      </c>
      <c r="D579" s="11">
        <f>IF(COUNTIF('Draft Board'!$B$3:$K$13,C579)&gt;0,"DRAFTED","")</f>
        <v/>
      </c>
    </row>
    <row r="580">
      <c r="A580" s="12" t="inlineStr">
        <is>
          <t>NCAAM</t>
        </is>
      </c>
      <c r="B580" s="12" t="inlineStr">
        <is>
          <t>UL Monroe</t>
        </is>
      </c>
      <c r="C580" s="12" t="inlineStr">
        <is>
          <t>NCAAM: UL Monroe</t>
        </is>
      </c>
      <c r="D580" s="11">
        <f>IF(COUNTIF('Draft Board'!$B$3:$K$13,C580)&gt;0,"DRAFTED","")</f>
        <v/>
      </c>
    </row>
    <row r="581">
      <c r="A581" s="12" t="inlineStr">
        <is>
          <t>NCAAM</t>
        </is>
      </c>
      <c r="B581" s="12" t="inlineStr">
        <is>
          <t>UMass</t>
        </is>
      </c>
      <c r="C581" s="12" t="inlineStr">
        <is>
          <t>NCAAM: UMass</t>
        </is>
      </c>
      <c r="D581" s="11">
        <f>IF(COUNTIF('Draft Board'!$B$3:$K$13,C581)&gt;0,"DRAFTED","")</f>
        <v/>
      </c>
    </row>
    <row r="582">
      <c r="A582" s="12" t="inlineStr">
        <is>
          <t>NCAAM</t>
        </is>
      </c>
      <c r="B582" s="12" t="inlineStr">
        <is>
          <t>UMass Lowell</t>
        </is>
      </c>
      <c r="C582" s="12" t="inlineStr">
        <is>
          <t>NCAAM: UMass Lowell</t>
        </is>
      </c>
      <c r="D582" s="11">
        <f>IF(COUNTIF('Draft Board'!$B$3:$K$13,C582)&gt;0,"DRAFTED","")</f>
        <v/>
      </c>
    </row>
    <row r="583">
      <c r="A583" s="12" t="inlineStr">
        <is>
          <t>NCAAM</t>
        </is>
      </c>
      <c r="B583" s="12" t="inlineStr">
        <is>
          <t>UMBC</t>
        </is>
      </c>
      <c r="C583" s="12" t="inlineStr">
        <is>
          <t>NCAAM: UMBC</t>
        </is>
      </c>
      <c r="D583" s="11">
        <f>IF(COUNTIF('Draft Board'!$B$3:$K$13,C583)&gt;0,"DRAFTED","")</f>
        <v/>
      </c>
    </row>
    <row r="584">
      <c r="A584" s="12" t="inlineStr">
        <is>
          <t>NCAAM</t>
        </is>
      </c>
      <c r="B584" s="12" t="inlineStr">
        <is>
          <t>UNC Asheville</t>
        </is>
      </c>
      <c r="C584" s="12" t="inlineStr">
        <is>
          <t>NCAAM: UNC Asheville</t>
        </is>
      </c>
      <c r="D584" s="11">
        <f>IF(COUNTIF('Draft Board'!$B$3:$K$13,C584)&gt;0,"DRAFTED","")</f>
        <v/>
      </c>
    </row>
    <row r="585">
      <c r="A585" s="12" t="inlineStr">
        <is>
          <t>NCAAM</t>
        </is>
      </c>
      <c r="B585" s="12" t="inlineStr">
        <is>
          <t>UNC Greensboro</t>
        </is>
      </c>
      <c r="C585" s="12" t="inlineStr">
        <is>
          <t>NCAAM: UNC Greensboro</t>
        </is>
      </c>
      <c r="D585" s="11">
        <f>IF(COUNTIF('Draft Board'!$B$3:$K$13,C585)&gt;0,"DRAFTED","")</f>
        <v/>
      </c>
    </row>
    <row r="586">
      <c r="A586" s="12" t="inlineStr">
        <is>
          <t>NCAAM</t>
        </is>
      </c>
      <c r="B586" s="12" t="inlineStr">
        <is>
          <t>UNC Wilmington</t>
        </is>
      </c>
      <c r="C586" s="12" t="inlineStr">
        <is>
          <t>NCAAM: UNC Wilmington</t>
        </is>
      </c>
      <c r="D586" s="11">
        <f>IF(COUNTIF('Draft Board'!$B$3:$K$13,C586)&gt;0,"DRAFTED","")</f>
        <v/>
      </c>
    </row>
    <row r="587">
      <c r="A587" s="12" t="inlineStr">
        <is>
          <t>NCAAM</t>
        </is>
      </c>
      <c r="B587" s="12" t="inlineStr">
        <is>
          <t>UNLV</t>
        </is>
      </c>
      <c r="C587" s="12" t="inlineStr">
        <is>
          <t>NCAAM: UNLV</t>
        </is>
      </c>
      <c r="D587" s="11">
        <f>IF(COUNTIF('Draft Board'!$B$3:$K$13,C587)&gt;0,"DRAFTED","")</f>
        <v/>
      </c>
    </row>
    <row r="588">
      <c r="A588" s="12" t="inlineStr">
        <is>
          <t>NCAAM</t>
        </is>
      </c>
      <c r="B588" s="12" t="inlineStr">
        <is>
          <t>USC</t>
        </is>
      </c>
      <c r="C588" s="12" t="inlineStr">
        <is>
          <t>NCAAM: USC</t>
        </is>
      </c>
      <c r="D588" s="11">
        <f>IF(COUNTIF('Draft Board'!$B$3:$K$13,C588)&gt;0,"DRAFTED","")</f>
        <v/>
      </c>
    </row>
    <row r="589">
      <c r="A589" s="12" t="inlineStr">
        <is>
          <t>NCAAM</t>
        </is>
      </c>
      <c r="B589" s="12" t="inlineStr">
        <is>
          <t>USC Upstate</t>
        </is>
      </c>
      <c r="C589" s="12" t="inlineStr">
        <is>
          <t>NCAAM: USC Upstate</t>
        </is>
      </c>
      <c r="D589" s="11">
        <f>IF(COUNTIF('Draft Board'!$B$3:$K$13,C589)&gt;0,"DRAFTED","")</f>
        <v/>
      </c>
    </row>
    <row r="590">
      <c r="A590" s="12" t="inlineStr">
        <is>
          <t>NCAAM</t>
        </is>
      </c>
      <c r="B590" s="12" t="inlineStr">
        <is>
          <t>UT Arlington</t>
        </is>
      </c>
      <c r="C590" s="12" t="inlineStr">
        <is>
          <t>NCAAM: UT Arlington</t>
        </is>
      </c>
      <c r="D590" s="11">
        <f>IF(COUNTIF('Draft Board'!$B$3:$K$13,C590)&gt;0,"DRAFTED","")</f>
        <v/>
      </c>
    </row>
    <row r="591">
      <c r="A591" s="12" t="inlineStr">
        <is>
          <t>NCAAM</t>
        </is>
      </c>
      <c r="B591" s="12" t="inlineStr">
        <is>
          <t>UT Martin</t>
        </is>
      </c>
      <c r="C591" s="12" t="inlineStr">
        <is>
          <t>NCAAM: UT Martin</t>
        </is>
      </c>
      <c r="D591" s="11">
        <f>IF(COUNTIF('Draft Board'!$B$3:$K$13,C591)&gt;0,"DRAFTED","")</f>
        <v/>
      </c>
    </row>
    <row r="592">
      <c r="A592" s="12" t="inlineStr">
        <is>
          <t>NCAAM</t>
        </is>
      </c>
      <c r="B592" s="12" t="inlineStr">
        <is>
          <t>Utah</t>
        </is>
      </c>
      <c r="C592" s="12" t="inlineStr">
        <is>
          <t>NCAAM: Utah</t>
        </is>
      </c>
      <c r="D592" s="11">
        <f>IF(COUNTIF('Draft Board'!$B$3:$K$13,C592)&gt;0,"DRAFTED","")</f>
        <v/>
      </c>
    </row>
    <row r="593">
      <c r="A593" s="12" t="inlineStr">
        <is>
          <t>NCAAM</t>
        </is>
      </c>
      <c r="B593" s="12" t="inlineStr">
        <is>
          <t>Utah State</t>
        </is>
      </c>
      <c r="C593" s="12" t="inlineStr">
        <is>
          <t>NCAAM: Utah State</t>
        </is>
      </c>
      <c r="D593" s="11">
        <f>IF(COUNTIF('Draft Board'!$B$3:$K$13,C593)&gt;0,"DRAFTED","")</f>
        <v/>
      </c>
    </row>
    <row r="594">
      <c r="A594" s="12" t="inlineStr">
        <is>
          <t>NCAAM</t>
        </is>
      </c>
      <c r="B594" s="12" t="inlineStr">
        <is>
          <t>Utah Tech</t>
        </is>
      </c>
      <c r="C594" s="12" t="inlineStr">
        <is>
          <t>NCAAM: Utah Tech</t>
        </is>
      </c>
      <c r="D594" s="11">
        <f>IF(COUNTIF('Draft Board'!$B$3:$K$13,C594)&gt;0,"DRAFTED","")</f>
        <v/>
      </c>
    </row>
    <row r="595">
      <c r="A595" s="12" t="inlineStr">
        <is>
          <t>NCAAM</t>
        </is>
      </c>
      <c r="B595" s="12" t="inlineStr">
        <is>
          <t>Utah Valley</t>
        </is>
      </c>
      <c r="C595" s="12" t="inlineStr">
        <is>
          <t>NCAAM: Utah Valley</t>
        </is>
      </c>
      <c r="D595" s="11">
        <f>IF(COUNTIF('Draft Board'!$B$3:$K$13,C595)&gt;0,"DRAFTED","")</f>
        <v/>
      </c>
    </row>
    <row r="596">
      <c r="A596" s="12" t="inlineStr">
        <is>
          <t>NCAAM</t>
        </is>
      </c>
      <c r="B596" s="12" t="inlineStr">
        <is>
          <t>UTEP</t>
        </is>
      </c>
      <c r="C596" s="12" t="inlineStr">
        <is>
          <t>NCAAM: UTEP</t>
        </is>
      </c>
      <c r="D596" s="11">
        <f>IF(COUNTIF('Draft Board'!$B$3:$K$13,C596)&gt;0,"DRAFTED","")</f>
        <v/>
      </c>
    </row>
    <row r="597">
      <c r="A597" s="12" t="inlineStr">
        <is>
          <t>NCAAM</t>
        </is>
      </c>
      <c r="B597" s="12" t="inlineStr">
        <is>
          <t>UTRGV</t>
        </is>
      </c>
      <c r="C597" s="12" t="inlineStr">
        <is>
          <t>NCAAM: UTRGV</t>
        </is>
      </c>
      <c r="D597" s="11">
        <f>IF(COUNTIF('Draft Board'!$B$3:$K$13,C597)&gt;0,"DRAFTED","")</f>
        <v/>
      </c>
    </row>
    <row r="598">
      <c r="A598" s="12" t="inlineStr">
        <is>
          <t>NCAAM</t>
        </is>
      </c>
      <c r="B598" s="12" t="inlineStr">
        <is>
          <t>UTSA</t>
        </is>
      </c>
      <c r="C598" s="12" t="inlineStr">
        <is>
          <t>NCAAM: UTSA</t>
        </is>
      </c>
      <c r="D598" s="11">
        <f>IF(COUNTIF('Draft Board'!$B$3:$K$13,C598)&gt;0,"DRAFTED","")</f>
        <v/>
      </c>
    </row>
    <row r="599">
      <c r="A599" s="12" t="inlineStr">
        <is>
          <t>NCAAM</t>
        </is>
      </c>
      <c r="B599" s="12" t="inlineStr">
        <is>
          <t>Valparaiso</t>
        </is>
      </c>
      <c r="C599" s="12" t="inlineStr">
        <is>
          <t>NCAAM: Valparaiso</t>
        </is>
      </c>
      <c r="D599" s="11">
        <f>IF(COUNTIF('Draft Board'!$B$3:$K$13,C599)&gt;0,"DRAFTED","")</f>
        <v/>
      </c>
    </row>
    <row r="600">
      <c r="A600" s="12" t="inlineStr">
        <is>
          <t>NCAAM</t>
        </is>
      </c>
      <c r="B600" s="12" t="inlineStr">
        <is>
          <t>Vanderbilt</t>
        </is>
      </c>
      <c r="C600" s="12" t="inlineStr">
        <is>
          <t>NCAAM: Vanderbilt</t>
        </is>
      </c>
      <c r="D600" s="11">
        <f>IF(COUNTIF('Draft Board'!$B$3:$K$13,C600)&gt;0,"DRAFTED","")</f>
        <v/>
      </c>
    </row>
    <row r="601">
      <c r="A601" s="12" t="inlineStr">
        <is>
          <t>NCAAM</t>
        </is>
      </c>
      <c r="B601" s="12" t="inlineStr">
        <is>
          <t>VCU</t>
        </is>
      </c>
      <c r="C601" s="12" t="inlineStr">
        <is>
          <t>NCAAM: VCU</t>
        </is>
      </c>
      <c r="D601" s="11">
        <f>IF(COUNTIF('Draft Board'!$B$3:$K$13,C601)&gt;0,"DRAFTED","")</f>
        <v/>
      </c>
    </row>
    <row r="602">
      <c r="A602" s="12" t="inlineStr">
        <is>
          <t>NCAAM</t>
        </is>
      </c>
      <c r="B602" s="12" t="inlineStr">
        <is>
          <t>Vermont</t>
        </is>
      </c>
      <c r="C602" s="12" t="inlineStr">
        <is>
          <t>NCAAM: Vermont</t>
        </is>
      </c>
      <c r="D602" s="11">
        <f>IF(COUNTIF('Draft Board'!$B$3:$K$13,C602)&gt;0,"DRAFTED","")</f>
        <v/>
      </c>
    </row>
    <row r="603">
      <c r="A603" s="12" t="inlineStr">
        <is>
          <t>NCAAM</t>
        </is>
      </c>
      <c r="B603" s="12" t="inlineStr">
        <is>
          <t>Villanova</t>
        </is>
      </c>
      <c r="C603" s="12" t="inlineStr">
        <is>
          <t>NCAAM: Villanova</t>
        </is>
      </c>
      <c r="D603" s="11">
        <f>IF(COUNTIF('Draft Board'!$B$3:$K$13,C603)&gt;0,"DRAFTED","")</f>
        <v/>
      </c>
    </row>
    <row r="604">
      <c r="A604" s="12" t="inlineStr">
        <is>
          <t>NCAAM</t>
        </is>
      </c>
      <c r="B604" s="12" t="inlineStr">
        <is>
          <t>Virginia</t>
        </is>
      </c>
      <c r="C604" s="12" t="inlineStr">
        <is>
          <t>NCAAM: Virginia</t>
        </is>
      </c>
      <c r="D604" s="11">
        <f>IF(COUNTIF('Draft Board'!$B$3:$K$13,C604)&gt;0,"DRAFTED","")</f>
        <v/>
      </c>
    </row>
    <row r="605">
      <c r="A605" s="12" t="inlineStr">
        <is>
          <t>NCAAM</t>
        </is>
      </c>
      <c r="B605" s="12" t="inlineStr">
        <is>
          <t>Virginia Tech</t>
        </is>
      </c>
      <c r="C605" s="12" t="inlineStr">
        <is>
          <t>NCAAM: Virginia Tech</t>
        </is>
      </c>
      <c r="D605" s="11">
        <f>IF(COUNTIF('Draft Board'!$B$3:$K$13,C605)&gt;0,"DRAFTED","")</f>
        <v/>
      </c>
    </row>
    <row r="606">
      <c r="A606" s="12" t="inlineStr">
        <is>
          <t>NCAAM</t>
        </is>
      </c>
      <c r="B606" s="12" t="inlineStr">
        <is>
          <t>VMI</t>
        </is>
      </c>
      <c r="C606" s="12" t="inlineStr">
        <is>
          <t>NCAAM: VMI</t>
        </is>
      </c>
      <c r="D606" s="11">
        <f>IF(COUNTIF('Draft Board'!$B$3:$K$13,C606)&gt;0,"DRAFTED","")</f>
        <v/>
      </c>
    </row>
    <row r="607">
      <c r="A607" s="12" t="inlineStr">
        <is>
          <t>NCAAM</t>
        </is>
      </c>
      <c r="B607" s="12" t="inlineStr">
        <is>
          <t>Wagner</t>
        </is>
      </c>
      <c r="C607" s="12" t="inlineStr">
        <is>
          <t>NCAAM: Wagner</t>
        </is>
      </c>
      <c r="D607" s="11">
        <f>IF(COUNTIF('Draft Board'!$B$3:$K$13,C607)&gt;0,"DRAFTED","")</f>
        <v/>
      </c>
    </row>
    <row r="608">
      <c r="A608" s="12" t="inlineStr">
        <is>
          <t>NCAAM</t>
        </is>
      </c>
      <c r="B608" s="12" t="inlineStr">
        <is>
          <t>Wake Forest</t>
        </is>
      </c>
      <c r="C608" s="12" t="inlineStr">
        <is>
          <t>NCAAM: Wake Forest</t>
        </is>
      </c>
      <c r="D608" s="11">
        <f>IF(COUNTIF('Draft Board'!$B$3:$K$13,C608)&gt;0,"DRAFTED","")</f>
        <v/>
      </c>
    </row>
    <row r="609">
      <c r="A609" s="12" t="inlineStr">
        <is>
          <t>NCAAM</t>
        </is>
      </c>
      <c r="B609" s="12" t="inlineStr">
        <is>
          <t>Washington</t>
        </is>
      </c>
      <c r="C609" s="12" t="inlineStr">
        <is>
          <t>NCAAM: Washington</t>
        </is>
      </c>
      <c r="D609" s="11">
        <f>IF(COUNTIF('Draft Board'!$B$3:$K$13,C609)&gt;0,"DRAFTED","")</f>
        <v/>
      </c>
    </row>
    <row r="610">
      <c r="A610" s="12" t="inlineStr">
        <is>
          <t>NCAAM</t>
        </is>
      </c>
      <c r="B610" s="12" t="inlineStr">
        <is>
          <t>Washington State</t>
        </is>
      </c>
      <c r="C610" s="12" t="inlineStr">
        <is>
          <t>NCAAM: Washington State</t>
        </is>
      </c>
      <c r="D610" s="11">
        <f>IF(COUNTIF('Draft Board'!$B$3:$K$13,C610)&gt;0,"DRAFTED","")</f>
        <v/>
      </c>
    </row>
    <row r="611">
      <c r="A611" s="12" t="inlineStr">
        <is>
          <t>NCAAM</t>
        </is>
      </c>
      <c r="B611" s="12" t="inlineStr">
        <is>
          <t>Weber State</t>
        </is>
      </c>
      <c r="C611" s="12" t="inlineStr">
        <is>
          <t>NCAAM: Weber State</t>
        </is>
      </c>
      <c r="D611" s="11">
        <f>IF(COUNTIF('Draft Board'!$B$3:$K$13,C611)&gt;0,"DRAFTED","")</f>
        <v/>
      </c>
    </row>
    <row r="612">
      <c r="A612" s="12" t="inlineStr">
        <is>
          <t>NCAAM</t>
        </is>
      </c>
      <c r="B612" s="12" t="inlineStr">
        <is>
          <t>West Florida</t>
        </is>
      </c>
      <c r="C612" s="12" t="inlineStr">
        <is>
          <t>NCAAM: West Florida</t>
        </is>
      </c>
      <c r="D612" s="11">
        <f>IF(COUNTIF('Draft Board'!$B$3:$K$13,C612)&gt;0,"DRAFTED","")</f>
        <v/>
      </c>
    </row>
    <row r="613">
      <c r="A613" s="12" t="inlineStr">
        <is>
          <t>NCAAM</t>
        </is>
      </c>
      <c r="B613" s="12" t="inlineStr">
        <is>
          <t>West Georgia</t>
        </is>
      </c>
      <c r="C613" s="12" t="inlineStr">
        <is>
          <t>NCAAM: West Georgia</t>
        </is>
      </c>
      <c r="D613" s="11">
        <f>IF(COUNTIF('Draft Board'!$B$3:$K$13,C613)&gt;0,"DRAFTED","")</f>
        <v/>
      </c>
    </row>
    <row r="614">
      <c r="A614" s="12" t="inlineStr">
        <is>
          <t>NCAAM</t>
        </is>
      </c>
      <c r="B614" s="12" t="inlineStr">
        <is>
          <t>West Virginia</t>
        </is>
      </c>
      <c r="C614" s="12" t="inlineStr">
        <is>
          <t>NCAAM: West Virginia</t>
        </is>
      </c>
      <c r="D614" s="11">
        <f>IF(COUNTIF('Draft Board'!$B$3:$K$13,C614)&gt;0,"DRAFTED","")</f>
        <v/>
      </c>
    </row>
    <row r="615">
      <c r="A615" s="12" t="inlineStr">
        <is>
          <t>NCAAM</t>
        </is>
      </c>
      <c r="B615" s="12" t="inlineStr">
        <is>
          <t>Western Carolina</t>
        </is>
      </c>
      <c r="C615" s="12" t="inlineStr">
        <is>
          <t>NCAAM: Western Carolina</t>
        </is>
      </c>
      <c r="D615" s="11">
        <f>IF(COUNTIF('Draft Board'!$B$3:$K$13,C615)&gt;0,"DRAFTED","")</f>
        <v/>
      </c>
    </row>
    <row r="616">
      <c r="A616" s="12" t="inlineStr">
        <is>
          <t>NCAAM</t>
        </is>
      </c>
      <c r="B616" s="12" t="inlineStr">
        <is>
          <t>Western Illinois</t>
        </is>
      </c>
      <c r="C616" s="12" t="inlineStr">
        <is>
          <t>NCAAM: Western Illinois</t>
        </is>
      </c>
      <c r="D616" s="11">
        <f>IF(COUNTIF('Draft Board'!$B$3:$K$13,C616)&gt;0,"DRAFTED","")</f>
        <v/>
      </c>
    </row>
    <row r="617">
      <c r="A617" s="12" t="inlineStr">
        <is>
          <t>NCAAM</t>
        </is>
      </c>
      <c r="B617" s="12" t="inlineStr">
        <is>
          <t>Western Kentucky</t>
        </is>
      </c>
      <c r="C617" s="12" t="inlineStr">
        <is>
          <t>NCAAM: Western Kentucky</t>
        </is>
      </c>
      <c r="D617" s="11">
        <f>IF(COUNTIF('Draft Board'!$B$3:$K$13,C617)&gt;0,"DRAFTED","")</f>
        <v/>
      </c>
    </row>
    <row r="618">
      <c r="A618" s="12" t="inlineStr">
        <is>
          <t>NCAAM</t>
        </is>
      </c>
      <c r="B618" s="12" t="inlineStr">
        <is>
          <t>Western Michigan</t>
        </is>
      </c>
      <c r="C618" s="12" t="inlineStr">
        <is>
          <t>NCAAM: Western Michigan</t>
        </is>
      </c>
      <c r="D618" s="11">
        <f>IF(COUNTIF('Draft Board'!$B$3:$K$13,C618)&gt;0,"DRAFTED","")</f>
        <v/>
      </c>
    </row>
    <row r="619">
      <c r="A619" s="12" t="inlineStr">
        <is>
          <t>NCAAM</t>
        </is>
      </c>
      <c r="B619" s="12" t="inlineStr">
        <is>
          <t>Wichita State</t>
        </is>
      </c>
      <c r="C619" s="12" t="inlineStr">
        <is>
          <t>NCAAM: Wichita State</t>
        </is>
      </c>
      <c r="D619" s="11">
        <f>IF(COUNTIF('Draft Board'!$B$3:$K$13,C619)&gt;0,"DRAFTED","")</f>
        <v/>
      </c>
    </row>
    <row r="620">
      <c r="A620" s="12" t="inlineStr">
        <is>
          <t>NCAAM</t>
        </is>
      </c>
      <c r="B620" s="12" t="inlineStr">
        <is>
          <t>William &amp; Mary</t>
        </is>
      </c>
      <c r="C620" s="12" t="inlineStr">
        <is>
          <t>NCAAM: William &amp; Mary</t>
        </is>
      </c>
      <c r="D620" s="11">
        <f>IF(COUNTIF('Draft Board'!$B$3:$K$13,C620)&gt;0,"DRAFTED","")</f>
        <v/>
      </c>
    </row>
    <row r="621">
      <c r="A621" s="12" t="inlineStr">
        <is>
          <t>NCAAM</t>
        </is>
      </c>
      <c r="B621" s="12" t="inlineStr">
        <is>
          <t>Winthrop</t>
        </is>
      </c>
      <c r="C621" s="12" t="inlineStr">
        <is>
          <t>NCAAM: Winthrop</t>
        </is>
      </c>
      <c r="D621" s="11">
        <f>IF(COUNTIF('Draft Board'!$B$3:$K$13,C621)&gt;0,"DRAFTED","")</f>
        <v/>
      </c>
    </row>
    <row r="622">
      <c r="A622" s="12" t="inlineStr">
        <is>
          <t>NCAAM</t>
        </is>
      </c>
      <c r="B622" s="12" t="inlineStr">
        <is>
          <t>Wisconsin</t>
        </is>
      </c>
      <c r="C622" s="12" t="inlineStr">
        <is>
          <t>NCAAM: Wisconsin</t>
        </is>
      </c>
      <c r="D622" s="11">
        <f>IF(COUNTIF('Draft Board'!$B$3:$K$13,C622)&gt;0,"DRAFTED","")</f>
        <v/>
      </c>
    </row>
    <row r="623">
      <c r="A623" s="12" t="inlineStr">
        <is>
          <t>NCAAM</t>
        </is>
      </c>
      <c r="B623" s="12" t="inlineStr">
        <is>
          <t>Wofford</t>
        </is>
      </c>
      <c r="C623" s="12" t="inlineStr">
        <is>
          <t>NCAAM: Wofford</t>
        </is>
      </c>
      <c r="D623" s="11">
        <f>IF(COUNTIF('Draft Board'!$B$3:$K$13,C623)&gt;0,"DRAFTED","")</f>
        <v/>
      </c>
    </row>
    <row r="624">
      <c r="A624" s="12" t="inlineStr">
        <is>
          <t>NCAAM</t>
        </is>
      </c>
      <c r="B624" s="12" t="inlineStr">
        <is>
          <t>Wright State</t>
        </is>
      </c>
      <c r="C624" s="12" t="inlineStr">
        <is>
          <t>NCAAM: Wright State</t>
        </is>
      </c>
      <c r="D624" s="11">
        <f>IF(COUNTIF('Draft Board'!$B$3:$K$13,C624)&gt;0,"DRAFTED","")</f>
        <v/>
      </c>
    </row>
    <row r="625">
      <c r="A625" s="12" t="inlineStr">
        <is>
          <t>NCAAM</t>
        </is>
      </c>
      <c r="B625" s="12" t="inlineStr">
        <is>
          <t>Wyoming</t>
        </is>
      </c>
      <c r="C625" s="12" t="inlineStr">
        <is>
          <t>NCAAM: Wyoming</t>
        </is>
      </c>
      <c r="D625" s="11">
        <f>IF(COUNTIF('Draft Board'!$B$3:$K$13,C625)&gt;0,"DRAFTED","")</f>
        <v/>
      </c>
    </row>
    <row r="626">
      <c r="A626" s="12" t="inlineStr">
        <is>
          <t>NCAAM</t>
        </is>
      </c>
      <c r="B626" s="12" t="inlineStr">
        <is>
          <t>Xavier</t>
        </is>
      </c>
      <c r="C626" s="12" t="inlineStr">
        <is>
          <t>NCAAM: Xavier</t>
        </is>
      </c>
      <c r="D626" s="11">
        <f>IF(COUNTIF('Draft Board'!$B$3:$K$13,C626)&gt;0,"DRAFTED","")</f>
        <v/>
      </c>
    </row>
    <row r="627">
      <c r="A627" s="12" t="inlineStr">
        <is>
          <t>NCAAM</t>
        </is>
      </c>
      <c r="B627" s="12" t="inlineStr">
        <is>
          <t>Yale</t>
        </is>
      </c>
      <c r="C627" s="12" t="inlineStr">
        <is>
          <t>NCAAM: Yale</t>
        </is>
      </c>
      <c r="D627" s="11">
        <f>IF(COUNTIF('Draft Board'!$B$3:$K$13,C627)&gt;0,"DRAFTED","")</f>
        <v/>
      </c>
    </row>
    <row r="628">
      <c r="A628" s="12" t="inlineStr">
        <is>
          <t>NCAAM</t>
        </is>
      </c>
      <c r="B628" s="12" t="inlineStr">
        <is>
          <t>Youngstown State</t>
        </is>
      </c>
      <c r="C628" s="12" t="inlineStr">
        <is>
          <t>NCAAM: Youngstown State</t>
        </is>
      </c>
      <c r="D628" s="11">
        <f>IF(COUNTIF('Draft Board'!$B$3:$K$13,C628)&gt;0,"DRAFTED","")</f>
        <v/>
      </c>
    </row>
    <row r="629">
      <c r="A629" s="12" t="inlineStr">
        <is>
          <t>EPL</t>
        </is>
      </c>
      <c r="B629" s="12" t="inlineStr">
        <is>
          <t>Arsenal</t>
        </is>
      </c>
      <c r="C629" s="12" t="inlineStr">
        <is>
          <t>EPL: Arsenal</t>
        </is>
      </c>
      <c r="D629" s="11">
        <f>IF(COUNTIF('Draft Board'!$B$3:$K$13,C629)&gt;0,"DRAFTED","")</f>
        <v/>
      </c>
    </row>
    <row r="630">
      <c r="A630" s="12" t="inlineStr">
        <is>
          <t>EPL</t>
        </is>
      </c>
      <c r="B630" s="12" t="inlineStr">
        <is>
          <t>Aston Villa</t>
        </is>
      </c>
      <c r="C630" s="12" t="inlineStr">
        <is>
          <t>EPL: Aston Villa</t>
        </is>
      </c>
      <c r="D630" s="11">
        <f>IF(COUNTIF('Draft Board'!$B$3:$K$13,C630)&gt;0,"DRAFTED","")</f>
        <v/>
      </c>
    </row>
    <row r="631">
      <c r="A631" s="12" t="inlineStr">
        <is>
          <t>EPL</t>
        </is>
      </c>
      <c r="B631" s="12" t="inlineStr">
        <is>
          <t>Bournemouth</t>
        </is>
      </c>
      <c r="C631" s="12" t="inlineStr">
        <is>
          <t>EPL: Bournemouth</t>
        </is>
      </c>
      <c r="D631" s="11">
        <f>IF(COUNTIF('Draft Board'!$B$3:$K$13,C631)&gt;0,"DRAFTED","")</f>
        <v/>
      </c>
    </row>
    <row r="632">
      <c r="A632" s="12" t="inlineStr">
        <is>
          <t>EPL</t>
        </is>
      </c>
      <c r="B632" s="12" t="inlineStr">
        <is>
          <t>Brentford</t>
        </is>
      </c>
      <c r="C632" s="12" t="inlineStr">
        <is>
          <t>EPL: Brentford</t>
        </is>
      </c>
      <c r="D632" s="11">
        <f>IF(COUNTIF('Draft Board'!$B$3:$K$13,C632)&gt;0,"DRAFTED","")</f>
        <v/>
      </c>
    </row>
    <row r="633">
      <c r="A633" s="12" t="inlineStr">
        <is>
          <t>EPL</t>
        </is>
      </c>
      <c r="B633" s="12" t="inlineStr">
        <is>
          <t>Brighton &amp; Hove Albion</t>
        </is>
      </c>
      <c r="C633" s="12" t="inlineStr">
        <is>
          <t>EPL: Brighton &amp; Hove Albion</t>
        </is>
      </c>
      <c r="D633" s="11">
        <f>IF(COUNTIF('Draft Board'!$B$3:$K$13,C633)&gt;0,"DRAFTED","")</f>
        <v/>
      </c>
    </row>
    <row r="634">
      <c r="A634" s="12" t="inlineStr">
        <is>
          <t>EPL</t>
        </is>
      </c>
      <c r="B634" s="12" t="inlineStr">
        <is>
          <t>Chelsea</t>
        </is>
      </c>
      <c r="C634" s="12" t="inlineStr">
        <is>
          <t>EPL: Chelsea</t>
        </is>
      </c>
      <c r="D634" s="11">
        <f>IF(COUNTIF('Draft Board'!$B$3:$K$13,C634)&gt;0,"DRAFTED","")</f>
        <v/>
      </c>
    </row>
    <row r="635">
      <c r="A635" s="12" t="inlineStr">
        <is>
          <t>EPL</t>
        </is>
      </c>
      <c r="B635" s="12" t="inlineStr">
        <is>
          <t>Coventry City</t>
        </is>
      </c>
      <c r="C635" s="12" t="inlineStr">
        <is>
          <t>EPL: Coventry City</t>
        </is>
      </c>
      <c r="D635" s="11">
        <f>IF(COUNTIF('Draft Board'!$B$3:$K$13,C635)&gt;0,"DRAFTED","")</f>
        <v/>
      </c>
    </row>
    <row r="636">
      <c r="A636" s="12" t="inlineStr">
        <is>
          <t>EPL</t>
        </is>
      </c>
      <c r="B636" s="12" t="inlineStr">
        <is>
          <t>Crystal Palace</t>
        </is>
      </c>
      <c r="C636" s="12" t="inlineStr">
        <is>
          <t>EPL: Crystal Palace</t>
        </is>
      </c>
      <c r="D636" s="11">
        <f>IF(COUNTIF('Draft Board'!$B$3:$K$13,C636)&gt;0,"DRAFTED","")</f>
        <v/>
      </c>
    </row>
    <row r="637">
      <c r="A637" s="12" t="inlineStr">
        <is>
          <t>EPL</t>
        </is>
      </c>
      <c r="B637" s="12" t="inlineStr">
        <is>
          <t>Everton</t>
        </is>
      </c>
      <c r="C637" s="12" t="inlineStr">
        <is>
          <t>EPL: Everton</t>
        </is>
      </c>
      <c r="D637" s="11">
        <f>IF(COUNTIF('Draft Board'!$B$3:$K$13,C637)&gt;0,"DRAFTED","")</f>
        <v/>
      </c>
    </row>
    <row r="638">
      <c r="A638" s="12" t="inlineStr">
        <is>
          <t>EPL</t>
        </is>
      </c>
      <c r="B638" s="12" t="inlineStr">
        <is>
          <t>Fulham</t>
        </is>
      </c>
      <c r="C638" s="12" t="inlineStr">
        <is>
          <t>EPL: Fulham</t>
        </is>
      </c>
      <c r="D638" s="11">
        <f>IF(COUNTIF('Draft Board'!$B$3:$K$13,C638)&gt;0,"DRAFTED","")</f>
        <v/>
      </c>
    </row>
    <row r="639">
      <c r="A639" s="12" t="inlineStr">
        <is>
          <t>EPL</t>
        </is>
      </c>
      <c r="B639" s="12" t="inlineStr">
        <is>
          <t>Hull City</t>
        </is>
      </c>
      <c r="C639" s="12" t="inlineStr">
        <is>
          <t>EPL: Hull City</t>
        </is>
      </c>
      <c r="D639" s="11">
        <f>IF(COUNTIF('Draft Board'!$B$3:$K$13,C639)&gt;0,"DRAFTED","")</f>
        <v/>
      </c>
    </row>
    <row r="640">
      <c r="A640" s="12" t="inlineStr">
        <is>
          <t>EPL</t>
        </is>
      </c>
      <c r="B640" s="12" t="inlineStr">
        <is>
          <t>Ipswich Town</t>
        </is>
      </c>
      <c r="C640" s="12" t="inlineStr">
        <is>
          <t>EPL: Ipswich Town</t>
        </is>
      </c>
      <c r="D640" s="11">
        <f>IF(COUNTIF('Draft Board'!$B$3:$K$13,C640)&gt;0,"DRAFTED","")</f>
        <v/>
      </c>
    </row>
    <row r="641">
      <c r="A641" s="12" t="inlineStr">
        <is>
          <t>EPL</t>
        </is>
      </c>
      <c r="B641" s="12" t="inlineStr">
        <is>
          <t>Leeds United</t>
        </is>
      </c>
      <c r="C641" s="12" t="inlineStr">
        <is>
          <t>EPL: Leeds United</t>
        </is>
      </c>
      <c r="D641" s="11">
        <f>IF(COUNTIF('Draft Board'!$B$3:$K$13,C641)&gt;0,"DRAFTED","")</f>
        <v/>
      </c>
    </row>
    <row r="642">
      <c r="A642" s="12" t="inlineStr">
        <is>
          <t>EPL</t>
        </is>
      </c>
      <c r="B642" s="12" t="inlineStr">
        <is>
          <t>Liverpool</t>
        </is>
      </c>
      <c r="C642" s="12" t="inlineStr">
        <is>
          <t>EPL: Liverpool</t>
        </is>
      </c>
      <c r="D642" s="11">
        <f>IF(COUNTIF('Draft Board'!$B$3:$K$13,C642)&gt;0,"DRAFTED","")</f>
        <v/>
      </c>
    </row>
    <row r="643">
      <c r="A643" s="12" t="inlineStr">
        <is>
          <t>EPL</t>
        </is>
      </c>
      <c r="B643" s="12" t="inlineStr">
        <is>
          <t>Manchester City</t>
        </is>
      </c>
      <c r="C643" s="12" t="inlineStr">
        <is>
          <t>EPL: Manchester City</t>
        </is>
      </c>
      <c r="D643" s="11">
        <f>IF(COUNTIF('Draft Board'!$B$3:$K$13,C643)&gt;0,"DRAFTED","")</f>
        <v/>
      </c>
    </row>
    <row r="644">
      <c r="A644" s="12" t="inlineStr">
        <is>
          <t>EPL</t>
        </is>
      </c>
      <c r="B644" s="12" t="inlineStr">
        <is>
          <t>Manchester United</t>
        </is>
      </c>
      <c r="C644" s="12" t="inlineStr">
        <is>
          <t>EPL: Manchester United</t>
        </is>
      </c>
      <c r="D644" s="11">
        <f>IF(COUNTIF('Draft Board'!$B$3:$K$13,C644)&gt;0,"DRAFTED","")</f>
        <v/>
      </c>
    </row>
    <row r="645">
      <c r="A645" s="12" t="inlineStr">
        <is>
          <t>EPL</t>
        </is>
      </c>
      <c r="B645" s="12" t="inlineStr">
        <is>
          <t>Newcastle United</t>
        </is>
      </c>
      <c r="C645" s="12" t="inlineStr">
        <is>
          <t>EPL: Newcastle United</t>
        </is>
      </c>
      <c r="D645" s="11">
        <f>IF(COUNTIF('Draft Board'!$B$3:$K$13,C645)&gt;0,"DRAFTED","")</f>
        <v/>
      </c>
    </row>
    <row r="646">
      <c r="A646" s="12" t="inlineStr">
        <is>
          <t>EPL</t>
        </is>
      </c>
      <c r="B646" s="12" t="inlineStr">
        <is>
          <t>Nottingham Forest</t>
        </is>
      </c>
      <c r="C646" s="12" t="inlineStr">
        <is>
          <t>EPL: Nottingham Forest</t>
        </is>
      </c>
      <c r="D646" s="11">
        <f>IF(COUNTIF('Draft Board'!$B$3:$K$13,C646)&gt;0,"DRAFTED","")</f>
        <v/>
      </c>
    </row>
    <row r="647">
      <c r="A647" s="12" t="inlineStr">
        <is>
          <t>EPL</t>
        </is>
      </c>
      <c r="B647" s="12" t="inlineStr">
        <is>
          <t>Sunderland</t>
        </is>
      </c>
      <c r="C647" s="12" t="inlineStr">
        <is>
          <t>EPL: Sunderland</t>
        </is>
      </c>
      <c r="D647" s="11">
        <f>IF(COUNTIF('Draft Board'!$B$3:$K$13,C647)&gt;0,"DRAFTED","")</f>
        <v/>
      </c>
    </row>
    <row r="648">
      <c r="A648" s="12" t="inlineStr">
        <is>
          <t>EPL</t>
        </is>
      </c>
      <c r="B648" s="12" t="inlineStr">
        <is>
          <t>Tottenham Hotspur</t>
        </is>
      </c>
      <c r="C648" s="12" t="inlineStr">
        <is>
          <t>EPL: Tottenham Hotspur</t>
        </is>
      </c>
      <c r="D648" s="11">
        <f>IF(COUNTIF('Draft Board'!$B$3:$K$13,C648)&gt;0,"DRAFTED","")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30" customWidth="1" min="5" max="5"/>
    <col width="10" customWidth="1" min="6" max="6"/>
    <col width="12" customWidth="1" min="7" max="7"/>
  </cols>
  <sheetData>
    <row r="1">
      <c r="A1" s="1" t="inlineStr">
        <is>
          <t>CHAMPIONSHIP FUTURES CHEATSHEET</t>
        </is>
      </c>
    </row>
    <row r="2">
      <c r="A2" s="7" t="inlineStr">
        <is>
          <t>Odds as of July 2026 (MLB All-Star break) — current for a late-July 2026 draft. Spot-check lines the week of draft night.</t>
        </is>
      </c>
    </row>
    <row r="4">
      <c r="A4" s="13" t="inlineStr">
        <is>
          <t>MLB — 2026 World Series</t>
        </is>
      </c>
      <c r="E4" s="13" t="inlineStr">
        <is>
          <t>NBA — 2027 NBA Championship</t>
        </is>
      </c>
    </row>
    <row r="5">
      <c r="A5" s="7" t="inlineStr">
        <is>
          <t>Book: BetMGM via VegasInsider</t>
        </is>
      </c>
      <c r="E5" s="7" t="inlineStr">
        <is>
          <t>Book: BetMGM via VegasInsider</t>
        </is>
      </c>
    </row>
    <row r="6">
      <c r="A6" s="10" t="inlineStr">
        <is>
          <t>Team</t>
        </is>
      </c>
      <c r="B6" s="10" t="inlineStr">
        <is>
          <t>Odds</t>
        </is>
      </c>
      <c r="C6" s="10" t="inlineStr">
        <is>
          <t>Implied %</t>
        </is>
      </c>
      <c r="E6" s="10" t="inlineStr">
        <is>
          <t>Team</t>
        </is>
      </c>
      <c r="F6" s="10" t="inlineStr">
        <is>
          <t>Odds</t>
        </is>
      </c>
      <c r="G6" s="10" t="inlineStr">
        <is>
          <t>Implied %</t>
        </is>
      </c>
    </row>
    <row r="7">
      <c r="A7" s="5" t="inlineStr">
        <is>
          <t>Los Angeles Dodgers</t>
        </is>
      </c>
      <c r="B7" s="14" t="n">
        <v>180</v>
      </c>
      <c r="C7" s="15">
        <f>100/(B7+100)</f>
        <v/>
      </c>
      <c r="E7" s="5" t="inlineStr">
        <is>
          <t>Oklahoma City Thunder</t>
        </is>
      </c>
      <c r="F7" s="14" t="n">
        <v>260</v>
      </c>
      <c r="G7" s="15">
        <f>100/(F7+100)</f>
        <v/>
      </c>
    </row>
    <row r="8">
      <c r="A8" s="6" t="inlineStr">
        <is>
          <t>New York Yankees</t>
        </is>
      </c>
      <c r="B8" s="16" t="n">
        <v>550</v>
      </c>
      <c r="C8" s="17">
        <f>100/(B8+100)</f>
        <v/>
      </c>
      <c r="E8" s="6" t="inlineStr">
        <is>
          <t>San Antonio Spurs</t>
        </is>
      </c>
      <c r="F8" s="16" t="n">
        <v>260</v>
      </c>
      <c r="G8" s="17">
        <f>100/(F8+100)</f>
        <v/>
      </c>
    </row>
    <row r="9">
      <c r="A9" s="5" t="inlineStr">
        <is>
          <t>Milwaukee Brewers</t>
        </is>
      </c>
      <c r="B9" s="14" t="n">
        <v>1000</v>
      </c>
      <c r="C9" s="15">
        <f>100/(B9+100)</f>
        <v/>
      </c>
      <c r="E9" s="5" t="inlineStr">
        <is>
          <t>New York Knicks</t>
        </is>
      </c>
      <c r="F9" s="14" t="n">
        <v>900</v>
      </c>
      <c r="G9" s="15">
        <f>100/(F9+100)</f>
        <v/>
      </c>
    </row>
    <row r="10">
      <c r="A10" s="6" t="inlineStr">
        <is>
          <t>Atlanta Braves</t>
        </is>
      </c>
      <c r="B10" s="16" t="n">
        <v>1200</v>
      </c>
      <c r="C10" s="17">
        <f>100/(B10+100)</f>
        <v/>
      </c>
      <c r="E10" s="6" t="inlineStr">
        <is>
          <t>Boston Celtics</t>
        </is>
      </c>
      <c r="F10" s="16" t="n">
        <v>1400</v>
      </c>
      <c r="G10" s="17">
        <f>100/(F10+100)</f>
        <v/>
      </c>
    </row>
    <row r="11">
      <c r="A11" s="5" t="inlineStr">
        <is>
          <t>Seattle Mariners</t>
        </is>
      </c>
      <c r="B11" s="14" t="n">
        <v>1200</v>
      </c>
      <c r="C11" s="15">
        <f>100/(B11+100)</f>
        <v/>
      </c>
      <c r="E11" s="5" t="inlineStr">
        <is>
          <t>Philadelphia 76ers</t>
        </is>
      </c>
      <c r="F11" s="14" t="n">
        <v>1800</v>
      </c>
      <c r="G11" s="15">
        <f>100/(F11+100)</f>
        <v/>
      </c>
    </row>
    <row r="12">
      <c r="A12" s="6" t="inlineStr">
        <is>
          <t>Philadelphia Phillies</t>
        </is>
      </c>
      <c r="B12" s="16" t="n">
        <v>1200</v>
      </c>
      <c r="C12" s="17">
        <f>100/(B12+100)</f>
        <v/>
      </c>
      <c r="E12" s="6" t="inlineStr">
        <is>
          <t>Cleveland Cavaliers</t>
        </is>
      </c>
      <c r="F12" s="16" t="n">
        <v>2000</v>
      </c>
      <c r="G12" s="17">
        <f>100/(F12+100)</f>
        <v/>
      </c>
    </row>
    <row r="13">
      <c r="A13" s="5" t="inlineStr">
        <is>
          <t>Tampa Bay Rays</t>
        </is>
      </c>
      <c r="B13" s="14" t="n">
        <v>1700</v>
      </c>
      <c r="C13" s="15">
        <f>100/(B13+100)</f>
        <v/>
      </c>
      <c r="E13" s="5" t="inlineStr">
        <is>
          <t>Toronto Raptors</t>
        </is>
      </c>
      <c r="F13" s="14" t="n">
        <v>2200</v>
      </c>
      <c r="G13" s="15">
        <f>100/(F13+100)</f>
        <v/>
      </c>
    </row>
    <row r="14">
      <c r="A14" s="6" t="inlineStr">
        <is>
          <t>Chicago Cubs</t>
        </is>
      </c>
      <c r="B14" s="16" t="n">
        <v>2000</v>
      </c>
      <c r="C14" s="17">
        <f>100/(B14+100)</f>
        <v/>
      </c>
      <c r="E14" s="6" t="inlineStr">
        <is>
          <t>Miami Heat</t>
        </is>
      </c>
      <c r="F14" s="16" t="n">
        <v>2500</v>
      </c>
      <c r="G14" s="17">
        <f>100/(F14+100)</f>
        <v/>
      </c>
    </row>
    <row r="15">
      <c r="A15" s="5" t="inlineStr">
        <is>
          <t>Texas Rangers</t>
        </is>
      </c>
      <c r="B15" s="14" t="n">
        <v>2500</v>
      </c>
      <c r="C15" s="15">
        <f>100/(B15+100)</f>
        <v/>
      </c>
      <c r="E15" s="5" t="inlineStr">
        <is>
          <t>Denver Nuggets</t>
        </is>
      </c>
      <c r="F15" s="14" t="n">
        <v>2500</v>
      </c>
      <c r="G15" s="15">
        <f>100/(F15+100)</f>
        <v/>
      </c>
    </row>
    <row r="16">
      <c r="A16" s="6" t="inlineStr">
        <is>
          <t>Cleveland Guardians</t>
        </is>
      </c>
      <c r="B16" s="16" t="n">
        <v>3000</v>
      </c>
      <c r="C16" s="17">
        <f>100/(B16+100)</f>
        <v/>
      </c>
      <c r="E16" s="6" t="inlineStr">
        <is>
          <t>Minnesota Timberwolves</t>
        </is>
      </c>
      <c r="F16" s="16" t="n">
        <v>2500</v>
      </c>
      <c r="G16" s="17">
        <f>100/(F16+100)</f>
        <v/>
      </c>
    </row>
    <row r="17">
      <c r="A17" s="5" t="inlineStr">
        <is>
          <t>Toronto Blue Jays</t>
        </is>
      </c>
      <c r="B17" s="14" t="n">
        <v>3500</v>
      </c>
      <c r="C17" s="15">
        <f>100/(B17+100)</f>
        <v/>
      </c>
      <c r="E17" s="5" t="inlineStr">
        <is>
          <t>Detroit Pistons</t>
        </is>
      </c>
      <c r="F17" s="14" t="n">
        <v>2500</v>
      </c>
      <c r="G17" s="15">
        <f>100/(F17+100)</f>
        <v/>
      </c>
    </row>
    <row r="18">
      <c r="A18" s="6" t="inlineStr">
        <is>
          <t>Chicago White Sox</t>
        </is>
      </c>
      <c r="B18" s="16" t="n">
        <v>4000</v>
      </c>
      <c r="C18" s="17">
        <f>100/(B18+100)</f>
        <v/>
      </c>
      <c r="E18" s="6" t="inlineStr">
        <is>
          <t>Golden State Warriors</t>
        </is>
      </c>
      <c r="F18" s="16" t="n">
        <v>3000</v>
      </c>
      <c r="G18" s="17">
        <f>100/(F18+100)</f>
        <v/>
      </c>
    </row>
    <row r="19">
      <c r="A19" s="5" t="inlineStr">
        <is>
          <t>Boston Red Sox</t>
        </is>
      </c>
      <c r="B19" s="14" t="n">
        <v>4000</v>
      </c>
      <c r="C19" s="15">
        <f>100/(B19+100)</f>
        <v/>
      </c>
      <c r="E19" s="5" t="inlineStr">
        <is>
          <t>Los Angeles Lakers</t>
        </is>
      </c>
      <c r="F19" s="14" t="n">
        <v>3500</v>
      </c>
      <c r="G19" s="15">
        <f>100/(F19+100)</f>
        <v/>
      </c>
    </row>
    <row r="20">
      <c r="A20" s="6" t="inlineStr">
        <is>
          <t>Detroit Tigers</t>
        </is>
      </c>
      <c r="B20" s="16" t="n">
        <v>5000</v>
      </c>
      <c r="C20" s="17">
        <f>100/(B20+100)</f>
        <v/>
      </c>
      <c r="E20" s="6" t="inlineStr">
        <is>
          <t>Indiana Pacers</t>
        </is>
      </c>
      <c r="F20" s="16" t="n">
        <v>4000</v>
      </c>
      <c r="G20" s="17">
        <f>100/(F20+100)</f>
        <v/>
      </c>
    </row>
    <row r="21">
      <c r="A21" s="5" t="inlineStr">
        <is>
          <t>Houston Astros</t>
        </is>
      </c>
      <c r="B21" s="14" t="n">
        <v>6000</v>
      </c>
      <c r="C21" s="15">
        <f>100/(B21+100)</f>
        <v/>
      </c>
      <c r="E21" s="5" t="inlineStr">
        <is>
          <t>Houston Rockets</t>
        </is>
      </c>
      <c r="F21" s="14" t="n">
        <v>6000</v>
      </c>
      <c r="G21" s="15">
        <f>100/(F21+100)</f>
        <v/>
      </c>
    </row>
    <row r="22">
      <c r="A22" s="6" t="inlineStr">
        <is>
          <t>Pittsburgh Pirates</t>
        </is>
      </c>
      <c r="B22" s="16" t="n">
        <v>8000</v>
      </c>
      <c r="C22" s="17">
        <f>100/(B22+100)</f>
        <v/>
      </c>
      <c r="E22" s="6" t="inlineStr">
        <is>
          <t>Atlanta Hawks</t>
        </is>
      </c>
      <c r="F22" s="16" t="n">
        <v>8000</v>
      </c>
      <c r="G22" s="17">
        <f>100/(F22+100)</f>
        <v/>
      </c>
    </row>
    <row r="23">
      <c r="A23" s="5" t="inlineStr">
        <is>
          <t>Baltimore Orioles</t>
        </is>
      </c>
      <c r="B23" s="14" t="n">
        <v>10000</v>
      </c>
      <c r="C23" s="15">
        <f>100/(B23+100)</f>
        <v/>
      </c>
      <c r="E23" s="5" t="inlineStr">
        <is>
          <t>Portland Trail Blazers</t>
        </is>
      </c>
      <c r="F23" s="14" t="n">
        <v>8000</v>
      </c>
      <c r="G23" s="15">
        <f>100/(F23+100)</f>
        <v/>
      </c>
    </row>
    <row r="24">
      <c r="A24" s="6" t="inlineStr">
        <is>
          <t>Miami Marlins</t>
        </is>
      </c>
      <c r="B24" s="16" t="n">
        <v>10000</v>
      </c>
      <c r="C24" s="17">
        <f>100/(B24+100)</f>
        <v/>
      </c>
      <c r="E24" s="6" t="inlineStr">
        <is>
          <t>Orlando Magic</t>
        </is>
      </c>
      <c r="F24" s="16" t="n">
        <v>8000</v>
      </c>
      <c r="G24" s="17">
        <f>100/(F24+100)</f>
        <v/>
      </c>
    </row>
    <row r="25">
      <c r="A25" s="5" t="inlineStr">
        <is>
          <t>San Diego Padres</t>
        </is>
      </c>
      <c r="B25" s="14" t="n">
        <v>10000</v>
      </c>
      <c r="C25" s="15">
        <f>100/(B25+100)</f>
        <v/>
      </c>
      <c r="E25" s="5" t="inlineStr">
        <is>
          <t>Charlotte Hornets</t>
        </is>
      </c>
      <c r="F25" s="14" t="n">
        <v>12500</v>
      </c>
      <c r="G25" s="15">
        <f>100/(F25+100)</f>
        <v/>
      </c>
    </row>
    <row r="26">
      <c r="A26" s="6" t="inlineStr">
        <is>
          <t>Minnesota Twins</t>
        </is>
      </c>
      <c r="B26" s="16" t="n">
        <v>12500</v>
      </c>
      <c r="C26" s="17">
        <f>100/(B26+100)</f>
        <v/>
      </c>
      <c r="E26" s="6" t="inlineStr">
        <is>
          <t>Phoenix Suns</t>
        </is>
      </c>
      <c r="F26" s="16" t="n">
        <v>12500</v>
      </c>
      <c r="G26" s="17">
        <f>100/(F26+100)</f>
        <v/>
      </c>
    </row>
    <row r="29">
      <c r="A29" s="13" t="inlineStr">
        <is>
          <t>NHL — 2027 Stanley Cup</t>
        </is>
      </c>
      <c r="E29" s="13" t="inlineStr">
        <is>
          <t>NFL — Super Bowl LXI (2026 season)</t>
        </is>
      </c>
    </row>
    <row r="30">
      <c r="A30" s="7" t="inlineStr">
        <is>
          <t>Book: DraftKings via CBS Sports</t>
        </is>
      </c>
      <c r="E30" s="7" t="inlineStr">
        <is>
          <t>Book: DraftKings via VegasInsider</t>
        </is>
      </c>
    </row>
    <row r="31">
      <c r="A31" s="10" t="inlineStr">
        <is>
          <t>Team</t>
        </is>
      </c>
      <c r="B31" s="10" t="inlineStr">
        <is>
          <t>Odds</t>
        </is>
      </c>
      <c r="C31" s="10" t="inlineStr">
        <is>
          <t>Implied %</t>
        </is>
      </c>
      <c r="E31" s="10" t="inlineStr">
        <is>
          <t>Team</t>
        </is>
      </c>
      <c r="F31" s="10" t="inlineStr">
        <is>
          <t>Odds</t>
        </is>
      </c>
      <c r="G31" s="10" t="inlineStr">
        <is>
          <t>Implied %</t>
        </is>
      </c>
    </row>
    <row r="32">
      <c r="A32" s="5" t="inlineStr">
        <is>
          <t>Carolina Hurricanes</t>
        </is>
      </c>
      <c r="B32" s="14" t="n">
        <v>700</v>
      </c>
      <c r="C32" s="15">
        <f>100/(B32+100)</f>
        <v/>
      </c>
      <c r="E32" s="5" t="inlineStr">
        <is>
          <t>Los Angeles Rams</t>
        </is>
      </c>
      <c r="F32" s="14" t="n">
        <v>550</v>
      </c>
      <c r="G32" s="15">
        <f>100/(F32+100)</f>
        <v/>
      </c>
    </row>
    <row r="33">
      <c r="A33" s="6" t="inlineStr">
        <is>
          <t>Colorado Avalanche</t>
        </is>
      </c>
      <c r="B33" s="16" t="n">
        <v>800</v>
      </c>
      <c r="C33" s="17">
        <f>100/(B33+100)</f>
        <v/>
      </c>
      <c r="E33" s="6" t="inlineStr">
        <is>
          <t>Baltimore Ravens</t>
        </is>
      </c>
      <c r="F33" s="16" t="n">
        <v>1000</v>
      </c>
      <c r="G33" s="17">
        <f>100/(F33+100)</f>
        <v/>
      </c>
    </row>
    <row r="34">
      <c r="A34" s="5" t="inlineStr">
        <is>
          <t>Vegas Golden Knights</t>
        </is>
      </c>
      <c r="B34" s="14" t="n">
        <v>850</v>
      </c>
      <c r="C34" s="15">
        <f>100/(B34+100)</f>
        <v/>
      </c>
      <c r="E34" s="5" t="inlineStr">
        <is>
          <t>Buffalo Bills</t>
        </is>
      </c>
      <c r="F34" s="14" t="n">
        <v>1000</v>
      </c>
      <c r="G34" s="15">
        <f>100/(F34+100)</f>
        <v/>
      </c>
    </row>
    <row r="35">
      <c r="A35" s="6" t="inlineStr">
        <is>
          <t>Edmonton Oilers</t>
        </is>
      </c>
      <c r="B35" s="16" t="n">
        <v>1100</v>
      </c>
      <c r="C35" s="17">
        <f>100/(B35+100)</f>
        <v/>
      </c>
      <c r="E35" s="6" t="inlineStr">
        <is>
          <t>Seattle Seahawks</t>
        </is>
      </c>
      <c r="F35" s="16" t="n">
        <v>1100</v>
      </c>
      <c r="G35" s="17">
        <f>100/(F35+100)</f>
        <v/>
      </c>
    </row>
    <row r="36">
      <c r="A36" s="5" t="inlineStr">
        <is>
          <t>Florida Panthers</t>
        </is>
      </c>
      <c r="B36" s="14" t="n">
        <v>1100</v>
      </c>
      <c r="C36" s="15">
        <f>100/(B36+100)</f>
        <v/>
      </c>
      <c r="E36" s="5" t="inlineStr">
        <is>
          <t>New England Patriots</t>
        </is>
      </c>
      <c r="F36" s="14" t="n">
        <v>1600</v>
      </c>
      <c r="G36" s="15">
        <f>100/(F36+100)</f>
        <v/>
      </c>
    </row>
    <row r="37">
      <c r="A37" s="6" t="inlineStr">
        <is>
          <t>Tampa Bay Lightning</t>
        </is>
      </c>
      <c r="B37" s="16" t="n">
        <v>1200</v>
      </c>
      <c r="C37" s="17">
        <f>100/(B37+100)</f>
        <v/>
      </c>
      <c r="E37" s="6" t="inlineStr">
        <is>
          <t>Kansas City Chiefs</t>
        </is>
      </c>
      <c r="F37" s="16" t="n">
        <v>1600</v>
      </c>
      <c r="G37" s="17">
        <f>100/(F37+100)</f>
        <v/>
      </c>
    </row>
    <row r="38">
      <c r="A38" s="5" t="inlineStr">
        <is>
          <t>Minnesota Wild</t>
        </is>
      </c>
      <c r="B38" s="14" t="n">
        <v>1400</v>
      </c>
      <c r="C38" s="15">
        <f>100/(B38+100)</f>
        <v/>
      </c>
      <c r="E38" s="5" t="inlineStr">
        <is>
          <t>Philadelphia Eagles</t>
        </is>
      </c>
      <c r="F38" s="14" t="n">
        <v>1600</v>
      </c>
      <c r="G38" s="15">
        <f>100/(F38+100)</f>
        <v/>
      </c>
    </row>
    <row r="39">
      <c r="A39" s="6" t="inlineStr">
        <is>
          <t>Dallas Stars</t>
        </is>
      </c>
      <c r="B39" s="16" t="n">
        <v>1500</v>
      </c>
      <c r="C39" s="17">
        <f>100/(B39+100)</f>
        <v/>
      </c>
      <c r="E39" s="6" t="inlineStr">
        <is>
          <t>Los Angeles Chargers</t>
        </is>
      </c>
      <c r="F39" s="16" t="n">
        <v>1700</v>
      </c>
      <c r="G39" s="17">
        <f>100/(F39+100)</f>
        <v/>
      </c>
    </row>
    <row r="40">
      <c r="A40" s="5" t="inlineStr">
        <is>
          <t>Ottawa Senators</t>
        </is>
      </c>
      <c r="B40" s="14" t="n">
        <v>1600</v>
      </c>
      <c r="C40" s="15">
        <f>100/(B40+100)</f>
        <v/>
      </c>
      <c r="E40" s="5" t="inlineStr">
        <is>
          <t>Houston Texans</t>
        </is>
      </c>
      <c r="F40" s="14" t="n">
        <v>1800</v>
      </c>
      <c r="G40" s="15">
        <f>100/(F40+100)</f>
        <v/>
      </c>
    </row>
    <row r="41">
      <c r="A41" s="6" t="inlineStr">
        <is>
          <t>Montreal Canadiens</t>
        </is>
      </c>
      <c r="B41" s="16" t="n">
        <v>2200</v>
      </c>
      <c r="C41" s="17">
        <f>100/(B41+100)</f>
        <v/>
      </c>
      <c r="E41" s="6" t="inlineStr">
        <is>
          <t>Green Bay Packers</t>
        </is>
      </c>
      <c r="F41" s="16" t="n">
        <v>1800</v>
      </c>
      <c r="G41" s="17">
        <f>100/(F41+100)</f>
        <v/>
      </c>
    </row>
    <row r="42">
      <c r="A42" s="5" t="inlineStr">
        <is>
          <t>Anaheim Ducks</t>
        </is>
      </c>
      <c r="B42" s="14" t="n">
        <v>2500</v>
      </c>
      <c r="C42" s="15">
        <f>100/(B42+100)</f>
        <v/>
      </c>
      <c r="E42" s="5" t="inlineStr">
        <is>
          <t>San Francisco 49ers</t>
        </is>
      </c>
      <c r="F42" s="14" t="n">
        <v>1900</v>
      </c>
      <c r="G42" s="15">
        <f>100/(F42+100)</f>
        <v/>
      </c>
    </row>
    <row r="43">
      <c r="A43" s="6" t="inlineStr">
        <is>
          <t>Buffalo Sabres</t>
        </is>
      </c>
      <c r="B43" s="16" t="n">
        <v>2500</v>
      </c>
      <c r="C43" s="17">
        <f>100/(B43+100)</f>
        <v/>
      </c>
      <c r="E43" s="6" t="inlineStr">
        <is>
          <t>Detroit Lions</t>
        </is>
      </c>
      <c r="F43" s="16" t="n">
        <v>1900</v>
      </c>
      <c r="G43" s="17">
        <f>100/(F43+100)</f>
        <v/>
      </c>
    </row>
    <row r="44">
      <c r="A44" s="5" t="inlineStr">
        <is>
          <t>Los Angeles Kings</t>
        </is>
      </c>
      <c r="B44" s="14" t="n">
        <v>3000</v>
      </c>
      <c r="C44" s="15">
        <f>100/(B44+100)</f>
        <v/>
      </c>
      <c r="E44" s="5" t="inlineStr">
        <is>
          <t>Cincinnati Bengals</t>
        </is>
      </c>
      <c r="F44" s="14" t="n">
        <v>2000</v>
      </c>
      <c r="G44" s="15">
        <f>100/(F44+100)</f>
        <v/>
      </c>
    </row>
    <row r="45">
      <c r="A45" s="6" t="inlineStr">
        <is>
          <t>New Jersey Devils</t>
        </is>
      </c>
      <c r="B45" s="16" t="n">
        <v>3000</v>
      </c>
      <c r="C45" s="17">
        <f>100/(B45+100)</f>
        <v/>
      </c>
      <c r="E45" s="6" t="inlineStr">
        <is>
          <t>Denver Broncos</t>
        </is>
      </c>
      <c r="F45" s="16" t="n">
        <v>2000</v>
      </c>
      <c r="G45" s="17">
        <f>100/(F45+100)</f>
        <v/>
      </c>
    </row>
    <row r="46">
      <c r="A46" s="5" t="inlineStr">
        <is>
          <t>Utah Mammoth</t>
        </is>
      </c>
      <c r="B46" s="14" t="n">
        <v>3000</v>
      </c>
      <c r="C46" s="15">
        <f>100/(B46+100)</f>
        <v/>
      </c>
      <c r="E46" s="5" t="inlineStr">
        <is>
          <t>Chicago Bears</t>
        </is>
      </c>
      <c r="F46" s="14" t="n">
        <v>2500</v>
      </c>
      <c r="G46" s="15">
        <f>100/(F46+100)</f>
        <v/>
      </c>
    </row>
    <row r="47">
      <c r="A47" s="6" t="inlineStr">
        <is>
          <t>Columbus Blue Jackets</t>
        </is>
      </c>
      <c r="B47" s="16" t="n">
        <v>3500</v>
      </c>
      <c r="C47" s="17">
        <f>100/(B47+100)</f>
        <v/>
      </c>
      <c r="E47" s="6" t="inlineStr">
        <is>
          <t>Dallas Cowboys</t>
        </is>
      </c>
      <c r="F47" s="16" t="n">
        <v>2500</v>
      </c>
      <c r="G47" s="17">
        <f>100/(F47+100)</f>
        <v/>
      </c>
    </row>
    <row r="48">
      <c r="A48" s="5" t="inlineStr">
        <is>
          <t>Toronto Maple Leafs</t>
        </is>
      </c>
      <c r="B48" s="14" t="n">
        <v>4000</v>
      </c>
      <c r="C48" s="15">
        <f>100/(B48+100)</f>
        <v/>
      </c>
      <c r="E48" s="5" t="inlineStr">
        <is>
          <t>Jacksonville Jaguars</t>
        </is>
      </c>
      <c r="F48" s="14" t="n">
        <v>3000</v>
      </c>
      <c r="G48" s="15">
        <f>100/(F48+100)</f>
        <v/>
      </c>
    </row>
    <row r="49">
      <c r="A49" s="6" t="inlineStr">
        <is>
          <t>Philadelphia Flyers</t>
        </is>
      </c>
      <c r="B49" s="16" t="n">
        <v>5000</v>
      </c>
      <c r="C49" s="17">
        <f>100/(B49+100)</f>
        <v/>
      </c>
      <c r="E49" s="6" t="inlineStr">
        <is>
          <t>Minnesota Vikings</t>
        </is>
      </c>
      <c r="F49" s="16" t="n">
        <v>5000</v>
      </c>
      <c r="G49" s="17">
        <f>100/(F49+100)</f>
        <v/>
      </c>
    </row>
    <row r="50">
      <c r="A50" s="5" t="inlineStr">
        <is>
          <t>Washington Capitals</t>
        </is>
      </c>
      <c r="B50" s="14" t="n">
        <v>5000</v>
      </c>
      <c r="C50" s="15">
        <f>100/(B50+100)</f>
        <v/>
      </c>
      <c r="E50" s="5" t="inlineStr">
        <is>
          <t>Tampa Bay Buccaneers</t>
        </is>
      </c>
      <c r="F50" s="14" t="n">
        <v>5000</v>
      </c>
      <c r="G50" s="15">
        <f>100/(F50+100)</f>
        <v/>
      </c>
    </row>
    <row r="51">
      <c r="A51" s="6" t="inlineStr">
        <is>
          <t>Pittsburgh Penguins</t>
        </is>
      </c>
      <c r="B51" s="16" t="n">
        <v>5500</v>
      </c>
      <c r="C51" s="17">
        <f>100/(B51+100)</f>
        <v/>
      </c>
      <c r="E51" s="6" t="inlineStr">
        <is>
          <t>Pittsburgh Steelers</t>
        </is>
      </c>
      <c r="F51" s="16" t="n">
        <v>5000</v>
      </c>
      <c r="G51" s="17">
        <f>100/(F51+100)</f>
        <v/>
      </c>
    </row>
    <row r="54">
      <c r="A54" s="13" t="inlineStr">
        <is>
          <t>NCAAF — 2026-27 CFP National Championship</t>
        </is>
      </c>
      <c r="E54" s="13" t="inlineStr">
        <is>
          <t>NCAAM — 2027 NCAA Tournament Champion</t>
        </is>
      </c>
    </row>
    <row r="55">
      <c r="A55" s="7" t="inlineStr">
        <is>
          <t>Book: VegasInsider consensus</t>
        </is>
      </c>
      <c r="E55" s="7" t="inlineStr">
        <is>
          <t>Book: Bovada</t>
        </is>
      </c>
    </row>
    <row r="56">
      <c r="A56" s="10" t="inlineStr">
        <is>
          <t>Team</t>
        </is>
      </c>
      <c r="B56" s="10" t="inlineStr">
        <is>
          <t>Odds</t>
        </is>
      </c>
      <c r="C56" s="10" t="inlineStr">
        <is>
          <t>Implied %</t>
        </is>
      </c>
      <c r="E56" s="10" t="inlineStr">
        <is>
          <t>Team</t>
        </is>
      </c>
      <c r="F56" s="10" t="inlineStr">
        <is>
          <t>Odds</t>
        </is>
      </c>
      <c r="G56" s="10" t="inlineStr">
        <is>
          <t>Implied %</t>
        </is>
      </c>
    </row>
    <row r="57">
      <c r="A57" s="5" t="inlineStr">
        <is>
          <t>Ohio State</t>
        </is>
      </c>
      <c r="B57" s="14" t="n">
        <v>600</v>
      </c>
      <c r="C57" s="15">
        <f>100/(B57+100)</f>
        <v/>
      </c>
      <c r="E57" s="5" t="inlineStr">
        <is>
          <t>Florida</t>
        </is>
      </c>
      <c r="F57" s="14" t="n">
        <v>600</v>
      </c>
      <c r="G57" s="15">
        <f>100/(F57+100)</f>
        <v/>
      </c>
    </row>
    <row r="58">
      <c r="A58" s="6" t="inlineStr">
        <is>
          <t>Notre Dame</t>
        </is>
      </c>
      <c r="B58" s="16" t="n">
        <v>700</v>
      </c>
      <c r="C58" s="17">
        <f>100/(B58+100)</f>
        <v/>
      </c>
      <c r="E58" s="6" t="inlineStr">
        <is>
          <t>Duke</t>
        </is>
      </c>
      <c r="F58" s="16" t="n">
        <v>700</v>
      </c>
      <c r="G58" s="17">
        <f>100/(F58+100)</f>
        <v/>
      </c>
    </row>
    <row r="59">
      <c r="A59" s="5" t="inlineStr">
        <is>
          <t>Texas</t>
        </is>
      </c>
      <c r="B59" s="14" t="n">
        <v>750</v>
      </c>
      <c r="C59" s="15">
        <f>100/(B59+100)</f>
        <v/>
      </c>
      <c r="E59" s="5" t="inlineStr">
        <is>
          <t>Michigan</t>
        </is>
      </c>
      <c r="F59" s="14" t="n">
        <v>1200</v>
      </c>
      <c r="G59" s="15">
        <f>100/(F59+100)</f>
        <v/>
      </c>
    </row>
    <row r="60">
      <c r="A60" s="6" t="inlineStr">
        <is>
          <t>Indiana</t>
        </is>
      </c>
      <c r="B60" s="16" t="n">
        <v>750</v>
      </c>
      <c r="C60" s="17">
        <f>100/(B60+100)</f>
        <v/>
      </c>
      <c r="E60" s="6" t="inlineStr">
        <is>
          <t>UConn</t>
        </is>
      </c>
      <c r="F60" s="16" t="n">
        <v>1200</v>
      </c>
      <c r="G60" s="17">
        <f>100/(F60+100)</f>
        <v/>
      </c>
    </row>
    <row r="61">
      <c r="A61" s="5" t="inlineStr">
        <is>
          <t>Oregon</t>
        </is>
      </c>
      <c r="B61" s="14" t="n">
        <v>800</v>
      </c>
      <c r="C61" s="15">
        <f>100/(B61+100)</f>
        <v/>
      </c>
      <c r="E61" s="5" t="inlineStr">
        <is>
          <t>Illinois</t>
        </is>
      </c>
      <c r="F61" s="14" t="n">
        <v>1300</v>
      </c>
      <c r="G61" s="15">
        <f>100/(F61+100)</f>
        <v/>
      </c>
    </row>
    <row r="62">
      <c r="A62" s="6" t="inlineStr">
        <is>
          <t>Georgia</t>
        </is>
      </c>
      <c r="B62" s="16" t="n">
        <v>900</v>
      </c>
      <c r="C62" s="17">
        <f>100/(B62+100)</f>
        <v/>
      </c>
      <c r="E62" s="6" t="inlineStr">
        <is>
          <t>Arizona</t>
        </is>
      </c>
      <c r="F62" s="16" t="n">
        <v>1800</v>
      </c>
      <c r="G62" s="17">
        <f>100/(F62+100)</f>
        <v/>
      </c>
    </row>
    <row r="63">
      <c r="A63" s="5" t="inlineStr">
        <is>
          <t>Miami (FL)</t>
        </is>
      </c>
      <c r="B63" s="14" t="n">
        <v>1200</v>
      </c>
      <c r="C63" s="15">
        <f>100/(B63+100)</f>
        <v/>
      </c>
      <c r="E63" s="5" t="inlineStr">
        <is>
          <t>Arkansas</t>
        </is>
      </c>
      <c r="F63" s="14" t="n">
        <v>1900</v>
      </c>
      <c r="G63" s="15">
        <f>100/(F63+100)</f>
        <v/>
      </c>
    </row>
    <row r="64">
      <c r="A64" s="6" t="inlineStr">
        <is>
          <t>LSU</t>
        </is>
      </c>
      <c r="B64" s="16" t="n">
        <v>1500</v>
      </c>
      <c r="C64" s="17">
        <f>100/(B64+100)</f>
        <v/>
      </c>
      <c r="E64" s="6" t="inlineStr">
        <is>
          <t>Houston</t>
        </is>
      </c>
      <c r="F64" s="16" t="n">
        <v>2200</v>
      </c>
      <c r="G64" s="17">
        <f>100/(F64+100)</f>
        <v/>
      </c>
    </row>
    <row r="65">
      <c r="A65" s="5" t="inlineStr">
        <is>
          <t>Texas A&amp;M</t>
        </is>
      </c>
      <c r="B65" s="14" t="n">
        <v>1500</v>
      </c>
      <c r="C65" s="15">
        <f>100/(B65+100)</f>
        <v/>
      </c>
      <c r="E65" s="5" t="inlineStr">
        <is>
          <t>Louisville</t>
        </is>
      </c>
      <c r="F65" s="14" t="n">
        <v>2200</v>
      </c>
      <c r="G65" s="15">
        <f>100/(F65+100)</f>
        <v/>
      </c>
    </row>
    <row r="66">
      <c r="A66" s="6" t="inlineStr">
        <is>
          <t>Alabama</t>
        </is>
      </c>
      <c r="B66" s="16" t="n">
        <v>1500</v>
      </c>
      <c r="C66" s="17">
        <f>100/(B66+100)</f>
        <v/>
      </c>
      <c r="E66" s="6" t="inlineStr">
        <is>
          <t>Michigan State</t>
        </is>
      </c>
      <c r="F66" s="16" t="n">
        <v>2200</v>
      </c>
      <c r="G66" s="17">
        <f>100/(F66+100)</f>
        <v/>
      </c>
    </row>
    <row r="67">
      <c r="A67" s="5" t="inlineStr">
        <is>
          <t>Texas Tech</t>
        </is>
      </c>
      <c r="B67" s="14" t="n">
        <v>2200</v>
      </c>
      <c r="C67" s="15">
        <f>100/(B67+100)</f>
        <v/>
      </c>
      <c r="E67" s="5" t="inlineStr">
        <is>
          <t>Texas</t>
        </is>
      </c>
      <c r="F67" s="14" t="n">
        <v>2200</v>
      </c>
      <c r="G67" s="15">
        <f>100/(F67+100)</f>
        <v/>
      </c>
    </row>
    <row r="68">
      <c r="A68" s="6" t="inlineStr">
        <is>
          <t>Ole Miss</t>
        </is>
      </c>
      <c r="B68" s="16" t="n">
        <v>2500</v>
      </c>
      <c r="C68" s="17">
        <f>100/(B68+100)</f>
        <v/>
      </c>
      <c r="E68" s="6" t="inlineStr">
        <is>
          <t>Kansas</t>
        </is>
      </c>
      <c r="F68" s="16" t="n">
        <v>2500</v>
      </c>
      <c r="G68" s="17">
        <f>100/(F68+100)</f>
        <v/>
      </c>
    </row>
    <row r="69">
      <c r="A69" s="5" t="inlineStr">
        <is>
          <t>Michigan</t>
        </is>
      </c>
      <c r="B69" s="14" t="n">
        <v>2500</v>
      </c>
      <c r="C69" s="15">
        <f>100/(B69+100)</f>
        <v/>
      </c>
      <c r="E69" s="5" t="inlineStr">
        <is>
          <t>Gonzaga</t>
        </is>
      </c>
      <c r="F69" s="14" t="n">
        <v>2500</v>
      </c>
      <c r="G69" s="15">
        <f>100/(F69+100)</f>
        <v/>
      </c>
    </row>
    <row r="70">
      <c r="A70" s="6" t="inlineStr">
        <is>
          <t>Oklahoma</t>
        </is>
      </c>
      <c r="B70" s="16" t="n">
        <v>3000</v>
      </c>
      <c r="C70" s="17">
        <f>100/(B70+100)</f>
        <v/>
      </c>
      <c r="E70" s="6" t="inlineStr">
        <is>
          <t>St. John's</t>
        </is>
      </c>
      <c r="F70" s="16" t="n">
        <v>3500</v>
      </c>
      <c r="G70" s="17">
        <f>100/(F70+100)</f>
        <v/>
      </c>
    </row>
    <row r="71">
      <c r="A71" s="5" t="inlineStr">
        <is>
          <t>USC</t>
        </is>
      </c>
      <c r="B71" s="14" t="n">
        <v>3500</v>
      </c>
      <c r="C71" s="15">
        <f>100/(B71+100)</f>
        <v/>
      </c>
      <c r="E71" s="5" t="inlineStr">
        <is>
          <t>Virginia</t>
        </is>
      </c>
      <c r="F71" s="14" t="n">
        <v>3500</v>
      </c>
      <c r="G71" s="15">
        <f>100/(F71+100)</f>
        <v/>
      </c>
    </row>
    <row r="72">
      <c r="A72" s="6" t="inlineStr">
        <is>
          <t>Penn State</t>
        </is>
      </c>
      <c r="B72" s="16" t="n">
        <v>5000</v>
      </c>
      <c r="C72" s="17">
        <f>100/(B72+100)</f>
        <v/>
      </c>
      <c r="E72" s="6" t="inlineStr">
        <is>
          <t>Alabama</t>
        </is>
      </c>
      <c r="F72" s="16" t="n">
        <v>4000</v>
      </c>
      <c r="G72" s="17">
        <f>100/(F72+100)</f>
        <v/>
      </c>
    </row>
    <row r="73">
      <c r="A73" s="5" t="inlineStr">
        <is>
          <t>Tennessee</t>
        </is>
      </c>
      <c r="B73" s="14" t="n">
        <v>5000</v>
      </c>
      <c r="C73" s="15">
        <f>100/(B73+100)</f>
        <v/>
      </c>
      <c r="E73" s="5" t="inlineStr">
        <is>
          <t>Iowa State</t>
        </is>
      </c>
      <c r="F73" s="14" t="n">
        <v>4000</v>
      </c>
      <c r="G73" s="15">
        <f>100/(F73+100)</f>
        <v/>
      </c>
    </row>
    <row r="74">
      <c r="A74" s="6" t="inlineStr">
        <is>
          <t>Clemson</t>
        </is>
      </c>
      <c r="B74" s="16" t="n">
        <v>5000</v>
      </c>
      <c r="C74" s="17">
        <f>100/(B74+100)</f>
        <v/>
      </c>
      <c r="E74" s="6" t="inlineStr">
        <is>
          <t>Kentucky</t>
        </is>
      </c>
      <c r="F74" s="16" t="n">
        <v>4000</v>
      </c>
      <c r="G74" s="17">
        <f>100/(F74+100)</f>
        <v/>
      </c>
    </row>
    <row r="75">
      <c r="A75" s="5" t="inlineStr">
        <is>
          <t>Florida</t>
        </is>
      </c>
      <c r="B75" s="14" t="n">
        <v>6000</v>
      </c>
      <c r="C75" s="15">
        <f>100/(B75+100)</f>
        <v/>
      </c>
      <c r="E75" s="5" t="inlineStr">
        <is>
          <t>North Carolina</t>
        </is>
      </c>
      <c r="F75" s="14" t="n">
        <v>4000</v>
      </c>
      <c r="G75" s="15">
        <f>100/(F75+100)</f>
        <v/>
      </c>
    </row>
    <row r="76">
      <c r="A76" s="6" t="inlineStr">
        <is>
          <t>Auburn</t>
        </is>
      </c>
      <c r="B76" s="16" t="n">
        <v>6600</v>
      </c>
      <c r="C76" s="17">
        <f>100/(B76+100)</f>
        <v/>
      </c>
      <c r="E76" s="6" t="inlineStr">
        <is>
          <t>Texas Tech</t>
        </is>
      </c>
      <c r="F76" s="16" t="n">
        <v>4000</v>
      </c>
      <c r="G76" s="17">
        <f>100/(F76+100)</f>
        <v/>
      </c>
    </row>
    <row r="79">
      <c r="A79" s="13" t="inlineStr">
        <is>
          <t>EPL — 2026-27 Premier League Winner</t>
        </is>
      </c>
    </row>
    <row r="80">
      <c r="A80" s="7" t="inlineStr">
        <is>
          <t>Book: Hard Rock Bet</t>
        </is>
      </c>
    </row>
    <row r="81">
      <c r="A81" s="10" t="inlineStr">
        <is>
          <t>Team</t>
        </is>
      </c>
      <c r="B81" s="10" t="inlineStr">
        <is>
          <t>Odds</t>
        </is>
      </c>
      <c r="C81" s="10" t="inlineStr">
        <is>
          <t>Implied %</t>
        </is>
      </c>
    </row>
    <row r="82">
      <c r="A82" s="5" t="inlineStr">
        <is>
          <t>Arsenal</t>
        </is>
      </c>
      <c r="B82" s="14" t="n">
        <v>150</v>
      </c>
      <c r="C82" s="15">
        <f>100/(B82+100)</f>
        <v/>
      </c>
    </row>
    <row r="83">
      <c r="A83" s="6" t="inlineStr">
        <is>
          <t>Manchester City</t>
        </is>
      </c>
      <c r="B83" s="16" t="n">
        <v>250</v>
      </c>
      <c r="C83" s="17">
        <f>100/(B83+100)</f>
        <v/>
      </c>
    </row>
    <row r="84">
      <c r="A84" s="5" t="inlineStr">
        <is>
          <t>Liverpool</t>
        </is>
      </c>
      <c r="B84" s="14" t="n">
        <v>500</v>
      </c>
      <c r="C84" s="15">
        <f>100/(B84+100)</f>
        <v/>
      </c>
    </row>
    <row r="85">
      <c r="A85" s="6" t="inlineStr">
        <is>
          <t>Manchester United</t>
        </is>
      </c>
      <c r="B85" s="16" t="n">
        <v>700</v>
      </c>
      <c r="C85" s="17">
        <f>100/(B85+100)</f>
        <v/>
      </c>
    </row>
    <row r="86">
      <c r="A86" s="5" t="inlineStr">
        <is>
          <t>Chelsea</t>
        </is>
      </c>
      <c r="B86" s="14" t="n">
        <v>1000</v>
      </c>
      <c r="C86" s="15">
        <f>100/(B86+100)</f>
        <v/>
      </c>
    </row>
    <row r="87">
      <c r="A87" s="6" t="inlineStr">
        <is>
          <t>Aston Villa</t>
        </is>
      </c>
      <c r="B87" s="16" t="n">
        <v>2500</v>
      </c>
      <c r="C87" s="17">
        <f>100/(B87+100)</f>
        <v/>
      </c>
    </row>
    <row r="88">
      <c r="A88" s="5" t="inlineStr">
        <is>
          <t>Newcastle United</t>
        </is>
      </c>
      <c r="B88" s="14" t="n">
        <v>4000</v>
      </c>
      <c r="C88" s="15">
        <f>100/(B88+100)</f>
        <v/>
      </c>
    </row>
    <row r="89">
      <c r="A89" s="6" t="inlineStr">
        <is>
          <t>Brighton &amp; Hove Albion</t>
        </is>
      </c>
      <c r="B89" s="16" t="n">
        <v>15000</v>
      </c>
      <c r="C89" s="17">
        <f>100/(B89+100)</f>
        <v/>
      </c>
    </row>
    <row r="90">
      <c r="A90" s="5" t="inlineStr">
        <is>
          <t>Bournemouth</t>
        </is>
      </c>
      <c r="B90" s="14" t="n">
        <v>20000</v>
      </c>
      <c r="C90" s="15">
        <f>100/(B90+100)</f>
        <v/>
      </c>
    </row>
    <row r="91">
      <c r="A91" s="6" t="inlineStr">
        <is>
          <t>Brentford</t>
        </is>
      </c>
      <c r="B91" s="16" t="n">
        <v>25000</v>
      </c>
      <c r="C91" s="17">
        <f>100/(B91+100)</f>
        <v/>
      </c>
    </row>
    <row r="92">
      <c r="A92" s="5" t="inlineStr">
        <is>
          <t>Everton</t>
        </is>
      </c>
      <c r="B92" s="14" t="n">
        <v>25000</v>
      </c>
      <c r="C92" s="15">
        <f>100/(B92+100)</f>
        <v/>
      </c>
    </row>
    <row r="93">
      <c r="A93" s="6" t="inlineStr">
        <is>
          <t>Crystal Palace</t>
        </is>
      </c>
      <c r="B93" s="16" t="n">
        <v>50000</v>
      </c>
      <c r="C93" s="17">
        <f>100/(B93+100)</f>
        <v/>
      </c>
    </row>
    <row r="94">
      <c r="A94" s="5" t="inlineStr">
        <is>
          <t>Fulham</t>
        </is>
      </c>
      <c r="B94" s="14" t="n">
        <v>50000</v>
      </c>
      <c r="C94" s="15">
        <f>100/(B94+100)</f>
        <v/>
      </c>
    </row>
    <row r="95">
      <c r="A95" s="6" t="inlineStr">
        <is>
          <t>Leeds United</t>
        </is>
      </c>
      <c r="B95" s="16" t="n">
        <v>50000</v>
      </c>
      <c r="C95" s="17">
        <f>100/(B95+100)</f>
        <v/>
      </c>
    </row>
    <row r="96">
      <c r="A96" s="5" t="inlineStr">
        <is>
          <t>Nottingham Forest</t>
        </is>
      </c>
      <c r="B96" s="14" t="n">
        <v>50000</v>
      </c>
      <c r="C96" s="15">
        <f>100/(B96+100)</f>
        <v/>
      </c>
    </row>
    <row r="97">
      <c r="A97" s="6" t="inlineStr">
        <is>
          <t>Sunderland</t>
        </is>
      </c>
      <c r="B97" s="16" t="n">
        <v>100000</v>
      </c>
      <c r="C97" s="17">
        <f>100/(B97+100)</f>
        <v/>
      </c>
    </row>
    <row r="98">
      <c r="A98" s="5" t="inlineStr">
        <is>
          <t>Coventry City</t>
        </is>
      </c>
      <c r="B98" s="14" t="n">
        <v>100000</v>
      </c>
      <c r="C98" s="15">
        <f>100/(B98+100)</f>
        <v/>
      </c>
    </row>
    <row r="99">
      <c r="A99" s="6" t="inlineStr">
        <is>
          <t>Ipswich Town</t>
        </is>
      </c>
      <c r="B99" s="16" t="n">
        <v>100000</v>
      </c>
      <c r="C99" s="17">
        <f>100/(B99+100)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DRAFT TOOL</t>
        </is>
      </c>
    </row>
    <row r="2">
      <c r="A2" s="18" t="inlineStr"/>
    </row>
    <row r="3">
      <c r="A3" s="19" t="inlineStr">
        <is>
          <t>1. Before the draft</t>
        </is>
      </c>
    </row>
    <row r="4">
      <c r="A4" s="18" t="inlineStr">
        <is>
          <t>• Type your 10 manager names into the yellow cells on the Draft Board (row 2).</t>
        </is>
      </c>
    </row>
    <row r="5">
      <c r="A5" s="18" t="inlineStr">
        <is>
          <t>• Randomize draft order; the column order IS the draft order.</t>
        </is>
      </c>
    </row>
    <row r="6">
      <c r="A6" s="18" t="inlineStr">
        <is>
          <t>• The Odds Cheatsheet is current as of July 2026 — spot-check big movers the week of the draft.</t>
        </is>
      </c>
    </row>
    <row r="7">
      <c r="A7" s="18" t="inlineStr">
        <is>
          <t>• Update the Master Team List for renames, relocation, EPL promotion/relegation, and FBS/D1 changes.</t>
        </is>
      </c>
    </row>
    <row r="8">
      <c r="A8" s="18" t="inlineStr"/>
    </row>
    <row r="9">
      <c r="A9" s="19" t="inlineStr">
        <is>
          <t>2. During the draft</t>
        </is>
      </c>
    </row>
    <row r="10">
      <c r="A10" s="18" t="inlineStr">
        <is>
          <t>• On each pick, use the dropdown in your cell for that round. Odd rounds go left→right, even rounds right←left (snake).</t>
        </is>
      </c>
    </row>
    <row r="11">
      <c r="A11" s="18" t="inlineStr">
        <is>
          <t>• Teams are listed as “LEAGUE: Team”. Type the league prefix to jump there in the dropdown.</t>
        </is>
      </c>
    </row>
    <row r="12">
      <c r="A12" s="18" t="inlineStr">
        <is>
          <t>• A duplicate pick turns RED in both cells — the later pick is void and must be re-made.</t>
        </is>
      </c>
    </row>
    <row r="13">
      <c r="A13" s="18" t="inlineStr">
        <is>
          <t>• The Live Draft Tracker (below the board) shows how many teams remain undrafted in each league.</t>
        </is>
      </c>
    </row>
    <row r="14">
      <c r="A14" s="18" t="inlineStr">
        <is>
          <t>• The Master Team List marks every individually drafted team with “DRAFTED”.</t>
        </is>
      </c>
    </row>
    <row r="15">
      <c r="A15" s="18" t="inlineStr"/>
    </row>
    <row r="16">
      <c r="A16" s="19" t="inlineStr">
        <is>
          <t>3. After the draft</t>
        </is>
      </c>
    </row>
    <row r="17">
      <c r="A17" s="18" t="inlineStr">
        <is>
          <t>• Each manager’s roster is simply their column, top to bottom.</t>
        </is>
      </c>
    </row>
    <row r="18">
      <c r="A18" s="18" t="inlineStr">
        <is>
          <t>• Log trades by editing the cells and noting the swap in your group chat.</t>
        </is>
      </c>
    </row>
    <row r="19">
      <c r="A19" s="18" t="inlineStr">
        <is>
          <t>• Save a copy each season — next year’s update takes about 75 minutes (per the format’s inventor).</t>
        </is>
      </c>
    </row>
    <row r="20">
      <c r="A20" s="18" t="inlineStr"/>
    </row>
    <row r="21">
      <c r="A21" s="20" t="inlineStr">
        <is>
          <t>Format credit: adapted from a Championship League described on r/FFCommish (u/Beaushekai).</t>
        </is>
      </c>
    </row>
    <row r="22">
      <c r="A22" s="20" t="inlineStr">
        <is>
          <t>Cells you should edit: yellow. Everything with formulas updates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2026-07-23T17:53:33Z</dcterms:created>
  <dcterms:modified xsi:type="dcterms:W3CDTF">2026-07-23T17:53:33Z</dcterms:modified>
</cp:coreProperties>
</file>